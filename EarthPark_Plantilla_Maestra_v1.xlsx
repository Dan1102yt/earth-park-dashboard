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INSTRUCCIONES" sheetId="1" state="visible" r:id="rId3"/>
    <sheet name="01_RESERVAS" sheetId="2" state="visible" r:id="rId4"/>
    <sheet name="02_EGRESOS" sheetId="3" state="visible" r:id="rId5"/>
    <sheet name="03_INSUMOS_COCINA" sheetId="4" state="visible" r:id="rId6"/>
    <sheet name="04_CONFIG_PRECIOS" sheetId="5" state="visible" r:id="rId7"/>
    <sheet name="05_RESUMEN_M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<sst xmlns="http://schemas.openxmlformats.org/spreadsheetml/2006/main" count="371" uniqueCount="242">
  <si>
    <t xml:space="preserve">EARTH PARK — PLANTILLA MAESTRA DE DATOS v1.0</t>
  </si>
  <si>
    <t xml:space="preserve">Guía de uso y estructura del archivo</t>
  </si>
  <si>
    <t xml:space="preserve">HOJAS DE ESTE ARCHIVO</t>
  </si>
  <si>
    <t xml:space="preserve">01_RESERVAS         → Registro de cada fin de semana. UNA FILA = UNA RESERVA.</t>
  </si>
  <si>
    <t xml:space="preserve">02_EGRESOS          → Cada compra/gasto. Vinculado a una reserva por ID.</t>
  </si>
  <si>
    <t xml:space="preserve">03_INSUMOS_COCINA   → Lista de compras calculada automáticamente.</t>
  </si>
  <si>
    <t xml:space="preserve">04_CONFIG_PRECIOS   → Precios y parámetros del negocio. EDITAR AQUÍ.</t>
  </si>
  <si>
    <t xml:space="preserve">05_RESUMEN_MES      → Dashboard financiero mensual con fórmulas.</t>
  </si>
  <si>
    <t xml:space="preserve">REGLAS DE OPERACIÓN</t>
  </si>
  <si>
    <t xml:space="preserve">1. NUNCA borrar filas de encabezado (fila 1 o 2 de cada hoja).</t>
  </si>
  <si>
    <t xml:space="preserve">2. Agregar datos SIEMPRE al final de la tabla, nunca en el medio.</t>
  </si>
  <si>
    <t xml:space="preserve">3. El ID de reserva es la clave que conecta todas las hojas: APELLIDO_YYYYMMDD</t>
  </si>
  <si>
    <t xml:space="preserve">4. Celdas en AZUL = valores que tú ingresas. Celdas en NEGRO = fórmulas (no editar).</t>
  </si>
  <si>
    <t xml:space="preserve">5. Celdas con fondo AMARILLO = requieren tu atención o actualización.</t>
  </si>
  <si>
    <t xml:space="preserve">6. La hoja 04_CONFIG_PRECIOS centraliza todos los parámetros. Si un precio cambia,</t>
  </si>
  <si>
    <t xml:space="preserve">   actualízalo SOLO ahí y todas las fórmulas se recalculan automáticamente.</t>
  </si>
  <si>
    <t xml:space="preserve">NOMENCLATURA DE ID DE RESERVA</t>
  </si>
  <si>
    <t xml:space="preserve">Formato: APELLIDO_YYYYMMDD  |  Ejemplo: VIVIANA_20260517</t>
  </si>
  <si>
    <t xml:space="preserve">Reglas: solo mayúsculas, sin espacios, sin tildes, sin caracteres especiales.</t>
  </si>
  <si>
    <t xml:space="preserve">CAPACIDAD DE HABITACIONES (referencia)</t>
  </si>
  <si>
    <t xml:space="preserve">Habitación Mariposa:  2 camas dobles (2p c/u) + 1 cama sencilla = 5 personas máx.</t>
  </si>
  <si>
    <t xml:space="preserve">Habitación Ancestros: 1 cama doble (2p) = 2 personas máx.</t>
  </si>
  <si>
    <t xml:space="preserve">Capacidad total interna: 7 personas. Si hay más → hospedaje externo ($60.000/noche).</t>
  </si>
  <si>
    <t xml:space="preserve">COMPATIBILIDAD CON LA APP WEB (GitHub)</t>
  </si>
  <si>
    <t xml:space="preserve">Este archivo es el origen de datos. Para migrar a la app:</t>
  </si>
  <si>
    <t xml:space="preserve">  a) Exporta cada hoja como CSV (Archivo → Guardar como → CSV UTF-8).</t>
  </si>
  <si>
    <t xml:space="preserve">  b) En la app React, importa los CSV con papaparse o carga el JSON exportado.</t>
  </si>
  <si>
    <t xml:space="preserve">  c) El campo 'reserva_id' es la clave foránea en todas las tablas.</t>
  </si>
  <si>
    <t xml:space="preserve">01_RESERVAS — Registro de cada fin de semana</t>
  </si>
  <si>
    <t xml:space="preserve">reserva_id</t>
  </si>
  <si>
    <t xml:space="preserve">fecha_inicio</t>
  </si>
  <si>
    <t xml:space="preserve">fecha_fin</t>
  </si>
  <si>
    <t xml:space="preserve">plan</t>
  </si>
  <si>
    <t xml:space="preserve">total_personas</t>
  </si>
  <si>
    <t xml:space="preserve">personas_alimentacion</t>
  </si>
  <si>
    <t xml:space="preserve">personas_alojamiento</t>
  </si>
  <si>
    <t xml:space="preserve">n_hamburguesa</t>
  </si>
  <si>
    <t xml:space="preserve">n_pechuga</t>
  </si>
  <si>
    <t xml:space="preserve">estado_pago</t>
  </si>
  <si>
    <t xml:space="preserve">anticipo_cop</t>
  </si>
  <si>
    <t xml:space="preserve">saldo_cop</t>
  </si>
  <si>
    <t xml:space="preserve">ingreso_experiencias</t>
  </si>
  <si>
    <t xml:space="preserve">ingreso_alimentacion</t>
  </si>
  <si>
    <t xml:space="preserve">ingreso_alojamiento</t>
  </si>
  <si>
    <t xml:space="preserve">ingreso_guia</t>
  </si>
  <si>
    <t xml:space="preserve">notas</t>
  </si>
  <si>
    <t xml:space="preserve">texto — clave primaria</t>
  </si>
  <si>
    <t xml:space="preserve">fecha YYYY-MM-DD</t>
  </si>
  <si>
    <t xml:space="preserve">2D1N / 3D2N</t>
  </si>
  <si>
    <t xml:space="preserve">entero</t>
  </si>
  <si>
    <t xml:space="preserve">anticipo / pagado / pendiente</t>
  </si>
  <si>
    <t xml:space="preserve">número COP</t>
  </si>
  <si>
    <t xml:space="preserve">fórmula</t>
  </si>
  <si>
    <t xml:space="preserve">texto libre</t>
  </si>
  <si>
    <t xml:space="preserve">VIVIANA_20260517</t>
  </si>
  <si>
    <t xml:space="preserve">2026-05-17</t>
  </si>
  <si>
    <t xml:space="preserve">2026-05-18</t>
  </si>
  <si>
    <t xml:space="preserve">2D1N</t>
  </si>
  <si>
    <t xml:space="preserve">pagado</t>
  </si>
  <si>
    <t xml:space="preserve">Cumpleaños — costos extraordinarios</t>
  </si>
  <si>
    <t xml:space="preserve">APELLIDO_YYYYMMDD</t>
  </si>
  <si>
    <t xml:space="preserve">YYYY-MM-DD</t>
  </si>
  <si>
    <t xml:space="preserve">anticipo</t>
  </si>
  <si>
    <t xml:space="preserve">INSTRUCCIÓN: Agrega cada nuevo fin de semana como una nueva fila. Celdas AZULES = tú las escribes. Celdas VERDES = fórmulas automáticas. Celdas AMARILLAS = próxima reserva a completar.</t>
  </si>
  <si>
    <t xml:space="preserve">TOTALES</t>
  </si>
  <si>
    <t xml:space="preserve">02_EGRESOS — Registro de compras y gastos por reserva</t>
  </si>
  <si>
    <t xml:space="preserve">item</t>
  </si>
  <si>
    <t xml:space="preserve">categoria</t>
  </si>
  <si>
    <t xml:space="preserve">tipo</t>
  </si>
  <si>
    <t xml:space="preserve">valor_cop</t>
  </si>
  <si>
    <t xml:space="preserve">tiene_recibo</t>
  </si>
  <si>
    <t xml:space="preserve">proveedor</t>
  </si>
  <si>
    <t xml:space="preserve">FK → 01_RESERVAS</t>
  </si>
  <si>
    <t xml:space="preserve">texto</t>
  </si>
  <si>
    <t xml:space="preserve">cocina/bebida/evento/hospedaje</t>
  </si>
  <si>
    <t xml:space="preserve">operativo / extraordinario</t>
  </si>
  <si>
    <t xml:space="preserve">SI / NO</t>
  </si>
  <si>
    <t xml:space="preserve">Aceite Oliosoya</t>
  </si>
  <si>
    <t xml:space="preserve">cocina</t>
  </si>
  <si>
    <t xml:space="preserve">operativo</t>
  </si>
  <si>
    <t xml:space="preserve">SI</t>
  </si>
  <si>
    <t xml:space="preserve">Surtimas S.A.S</t>
  </si>
  <si>
    <t xml:space="preserve">Paca Leche Colanta x6</t>
  </si>
  <si>
    <t xml:space="preserve">desayuno</t>
  </si>
  <si>
    <t xml:space="preserve">Hamburguesa Ranchera 130g</t>
  </si>
  <si>
    <t xml:space="preserve">cena</t>
  </si>
  <si>
    <t xml:space="preserve">Cerveza Coronita x6</t>
  </si>
  <si>
    <t xml:space="preserve">bebida</t>
  </si>
  <si>
    <t xml:space="preserve">Queso La Pampa 250g</t>
  </si>
  <si>
    <t xml:space="preserve">Display Club Colombia</t>
  </si>
  <si>
    <t xml:space="preserve">Tomate x2 lb</t>
  </si>
  <si>
    <t xml:space="preserve">eliminado del menú v2</t>
  </si>
  <si>
    <t xml:space="preserve">Papa x1/4</t>
  </si>
  <si>
    <t xml:space="preserve">Arveja verde x1 lb</t>
  </si>
  <si>
    <t xml:space="preserve">Cubeta huevos x30</t>
  </si>
  <si>
    <t xml:space="preserve">eliminado menú v2 (huevos)</t>
  </si>
  <si>
    <t xml:space="preserve">Gaseosa Colombiana</t>
  </si>
  <si>
    <t xml:space="preserve">Costilla de res (caldo)</t>
  </si>
  <si>
    <t xml:space="preserve">Carnes La Tierra</t>
  </si>
  <si>
    <t xml:space="preserve">Carne molida</t>
  </si>
  <si>
    <t xml:space="preserve">eliminado menú v2</t>
  </si>
  <si>
    <t xml:space="preserve">Pechuga de pollo x1</t>
  </si>
  <si>
    <t xml:space="preserve">NO</t>
  </si>
  <si>
    <t xml:space="preserve">Restaurante</t>
  </si>
  <si>
    <t xml:space="preserve">de existencias</t>
  </si>
  <si>
    <t xml:space="preserve">Pan (tajado + baguette)</t>
  </si>
  <si>
    <t xml:space="preserve">Panadería</t>
  </si>
  <si>
    <t xml:space="preserve">Torta cumpleaños</t>
  </si>
  <si>
    <t xml:space="preserve">evento</t>
  </si>
  <si>
    <t xml:space="preserve">extraordinario</t>
  </si>
  <si>
    <t xml:space="preserve">evento especial</t>
  </si>
  <si>
    <t xml:space="preserve">Vino x3 botellas</t>
  </si>
  <si>
    <t xml:space="preserve">Licores</t>
  </si>
  <si>
    <t xml:space="preserve">Decoración cumpleaños</t>
  </si>
  <si>
    <t xml:space="preserve">Papelería</t>
  </si>
  <si>
    <t xml:space="preserve">Registra CADA compra como una fila separada. tipo='operativo' = costo estándar repetible. tipo='extraordinario' = evento especial no recurrente. tiene_recibo=NO → busca el recibo físico.</t>
  </si>
  <si>
    <t xml:space="preserve">Total operativo</t>
  </si>
  <si>
    <t xml:space="preserve">Total extraordinario</t>
  </si>
  <si>
    <t xml:space="preserve">TOTAL EGRESOS</t>
  </si>
  <si>
    <t xml:space="preserve">03_INSUMOS_COCINA — Lista de compras calculada automáticamente</t>
  </si>
  <si>
    <t xml:space="preserve">insumo</t>
  </si>
  <si>
    <t xml:space="preserve">unidad</t>
  </si>
  <si>
    <t xml:space="preserve">qty_formula</t>
  </si>
  <si>
    <t xml:space="preserve">qty_redondeada</t>
  </si>
  <si>
    <t xml:space="preserve">costo_unit_ref</t>
  </si>
  <si>
    <t xml:space="preserve">costo_total</t>
  </si>
  <si>
    <t xml:space="preserve">kg/und/litros/g</t>
  </si>
  <si>
    <t xml:space="preserve">referencia CONFIG</t>
  </si>
  <si>
    <t xml:space="preserve">CENA</t>
  </si>
  <si>
    <t xml:space="preserve">und</t>
  </si>
  <si>
    <t xml:space="preserve">Pan de hamburguesa</t>
  </si>
  <si>
    <t xml:space="preserve">Queso La Pampa (paquetes 250g)</t>
  </si>
  <si>
    <t xml:space="preserve">paquete</t>
  </si>
  <si>
    <t xml:space="preserve">Lechuga</t>
  </si>
  <si>
    <t xml:space="preserve">Pechuga de pollo</t>
  </si>
  <si>
    <t xml:space="preserve">Papa para cenas (kg)</t>
  </si>
  <si>
    <t xml:space="preserve">kg</t>
  </si>
  <si>
    <t xml:space="preserve">DESAYUNO</t>
  </si>
  <si>
    <t xml:space="preserve">Costilla de res (kg)</t>
  </si>
  <si>
    <t xml:space="preserve">Papa para caldo (kg)</t>
  </si>
  <si>
    <t xml:space="preserve">Arveja verde (g)</t>
  </si>
  <si>
    <t xml:space="preserve">g</t>
  </si>
  <si>
    <t xml:space="preserve">Leche Colanta (pacas 6L)</t>
  </si>
  <si>
    <t xml:space="preserve">paca</t>
  </si>
  <si>
    <t xml:space="preserve">Arepas</t>
  </si>
  <si>
    <t xml:space="preserve">Fruta de temporada (porciones)</t>
  </si>
  <si>
    <t xml:space="preserve">porción</t>
  </si>
  <si>
    <t xml:space="preserve">Chocolate</t>
  </si>
  <si>
    <t xml:space="preserve">STOCK — REVISAR</t>
  </si>
  <si>
    <t xml:space="preserve">Aceite Oliosoya (500ml)</t>
  </si>
  <si>
    <t xml:space="preserve">Salsas (mayo/mostaza/ketchup)</t>
  </si>
  <si>
    <t xml:space="preserve">set</t>
  </si>
  <si>
    <t xml:space="preserve">Sal / pimienta / condimentos</t>
  </si>
  <si>
    <t xml:space="preserve">stock</t>
  </si>
  <si>
    <t xml:space="preserve">0</t>
  </si>
  <si>
    <t xml:space="preserve">TOTAL LISTA DE COMPRAS</t>
  </si>
  <si>
    <t xml:space="preserve">Insumos STOCK (fondo gris) = verificar en bodega antes de comprar. Para cambiar de reserva, actualiza la celda A en cada fila. En la app web esto se genera automáticamente al registrar la reserva.</t>
  </si>
  <si>
    <t xml:space="preserve">04_CONFIG_PRECIOS — Parámetros del negocio (editar aquí)</t>
  </si>
  <si>
    <t xml:space="preserve">PRECIOS POR SERVICIO (COP/persona)</t>
  </si>
  <si>
    <t xml:space="preserve">precio_experiencias</t>
  </si>
  <si>
    <t xml:space="preserve">Valor cobrado por persona</t>
  </si>
  <si>
    <t xml:space="preserve">precio_alimentacion</t>
  </si>
  <si>
    <t xml:space="preserve">Por persona</t>
  </si>
  <si>
    <t xml:space="preserve">precio_alojamiento</t>
  </si>
  <si>
    <t xml:space="preserve">Por persona por noche</t>
  </si>
  <si>
    <t xml:space="preserve">precio_guia_2D1N</t>
  </si>
  <si>
    <t xml:space="preserve">Por guía en plan 2D1N</t>
  </si>
  <si>
    <t xml:space="preserve">precio_guia_3D2N</t>
  </si>
  <si>
    <t xml:space="preserve">Por guía (mismo precio)</t>
  </si>
  <si>
    <t xml:space="preserve">precio_externo_noche</t>
  </si>
  <si>
    <t xml:space="preserve">Hospedaje externo referencia</t>
  </si>
  <si>
    <t xml:space="preserve">COSTOS INSUMOS — CENA</t>
  </si>
  <si>
    <t xml:space="preserve">costo_ranchera_130g</t>
  </si>
  <si>
    <t xml:space="preserve">Hamburguesa pre-formada</t>
  </si>
  <si>
    <t xml:space="preserve">Ref fórmula cocina fila 1</t>
  </si>
  <si>
    <t xml:space="preserve">costo_pan_hamburguesa</t>
  </si>
  <si>
    <t xml:space="preserve">Por unidad</t>
  </si>
  <si>
    <t xml:space="preserve">costo_queso_250g</t>
  </si>
  <si>
    <t xml:space="preserve">Paquete La Pampa 250g</t>
  </si>
  <si>
    <t xml:space="preserve">costo_lechuga</t>
  </si>
  <si>
    <t xml:space="preserve">costo_pechuga</t>
  </si>
  <si>
    <t xml:space="preserve">Por unidad grande (~200g)</t>
  </si>
  <si>
    <t xml:space="preserve">costo_papa_kg</t>
  </si>
  <si>
    <t xml:space="preserve">Papa criolla / pastusa por kg</t>
  </si>
  <si>
    <t xml:space="preserve">COSTOS INSUMOS — DESAYUNO</t>
  </si>
  <si>
    <t xml:space="preserve">---</t>
  </si>
  <si>
    <t xml:space="preserve">(ver fila 20 en adelante)</t>
  </si>
  <si>
    <t xml:space="preserve">costo_costilla_kg</t>
  </si>
  <si>
    <t xml:space="preserve">Ref: $45.900 / ~500g = $91.8k/kg</t>
  </si>
  <si>
    <t xml:space="preserve">costo_papa_caldo_kg</t>
  </si>
  <si>
    <t xml:space="preserve">Misma papa que cenas</t>
  </si>
  <si>
    <t xml:space="preserve">costo_arveja_g</t>
  </si>
  <si>
    <t xml:space="preserve">Por gramo ($3.000/500g)</t>
  </si>
  <si>
    <t xml:space="preserve">costo_leche_paca6L</t>
  </si>
  <si>
    <t xml:space="preserve">Paca Colanta x6 litros</t>
  </si>
  <si>
    <t xml:space="preserve">costo_arepa</t>
  </si>
  <si>
    <t xml:space="preserve">Paquete x10 arepas</t>
  </si>
  <si>
    <t xml:space="preserve">costo_fruta_porcion</t>
  </si>
  <si>
    <t xml:space="preserve">Estimado por porción</t>
  </si>
  <si>
    <t xml:space="preserve">costo_chocolate</t>
  </si>
  <si>
    <t xml:space="preserve">Paquete pastillas/polvo</t>
  </si>
  <si>
    <t xml:space="preserve">COSTOS STOCK — REFERENCIA</t>
  </si>
  <si>
    <t xml:space="preserve">costo_aceite_500ml</t>
  </si>
  <si>
    <t xml:space="preserve">Oliosoya referencia</t>
  </si>
  <si>
    <t xml:space="preserve">costo_salsas_set</t>
  </si>
  <si>
    <t xml:space="preserve">Mayo+mostaza+ketchup estimado</t>
  </si>
  <si>
    <t xml:space="preserve">CAPACIDAD HABITACIONES</t>
  </si>
  <si>
    <t xml:space="preserve">cap_mariposa</t>
  </si>
  <si>
    <t xml:space="preserve">2 dobles (2p c/u) + 1 sencilla</t>
  </si>
  <si>
    <t xml:space="preserve">cap_ancestros</t>
  </si>
  <si>
    <t xml:space="preserve">1 cama doble</t>
  </si>
  <si>
    <t xml:space="preserve">cap_total_interna</t>
  </si>
  <si>
    <t xml:space="preserve">2+5 = 7 personas total</t>
  </si>
  <si>
    <t xml:space="preserve">BENCHMARK FINANCIERO</t>
  </si>
  <si>
    <t xml:space="preserve">benchmark_costo_operativo_pct</t>
  </si>
  <si>
    <t xml:space="preserve">6.4% sin eventos especiales</t>
  </si>
  <si>
    <t xml:space="preserve">meta_margen_bruto_pct</t>
  </si>
  <si>
    <t xml:space="preserve">Alerta si margen cae &lt; 85%</t>
  </si>
  <si>
    <t xml:space="preserve">IMPORTANTE: Solo edita la columna B (valores en AMARILLO). Todas las fórmulas de las otras hojas referencian esta columna. Si un precio de proveedor cambia, actualízalo aquí únicamente.</t>
  </si>
  <si>
    <t xml:space="preserve">05_RESUMEN_MES — Dashboard financiero mensual</t>
  </si>
  <si>
    <t xml:space="preserve">concepto</t>
  </si>
  <si>
    <t xml:space="preserve">mayo 2026</t>
  </si>
  <si>
    <t xml:space="preserve">junio 2026</t>
  </si>
  <si>
    <t xml:space="preserve">total acum.</t>
  </si>
  <si>
    <t xml:space="preserve">INGRESOS</t>
  </si>
  <si>
    <t xml:space="preserve">Ingresos brutos totales</t>
  </si>
  <si>
    <t xml:space="preserve">Experiencias</t>
  </si>
  <si>
    <t xml:space="preserve">Alimentación</t>
  </si>
  <si>
    <t xml:space="preserve">Alojamiento</t>
  </si>
  <si>
    <t xml:space="preserve">Servicio guía</t>
  </si>
  <si>
    <t xml:space="preserve">EGRESOS</t>
  </si>
  <si>
    <t xml:space="preserve">Egresos operativos</t>
  </si>
  <si>
    <t xml:space="preserve">Egresos extraordinarios</t>
  </si>
  <si>
    <t xml:space="preserve">Total egresos</t>
  </si>
  <si>
    <t xml:space="preserve">RESULTADO</t>
  </si>
  <si>
    <t xml:space="preserve">Utilidad bruta</t>
  </si>
  <si>
    <t xml:space="preserve">Margen bruto %</t>
  </si>
  <si>
    <t xml:space="preserve">Costo por persona</t>
  </si>
  <si>
    <t xml:space="preserve">ALERTAS</t>
  </si>
  <si>
    <t xml:space="preserve">Alerta margen bajo (&lt;85%)</t>
  </si>
  <si>
    <t xml:space="preserve">Fines de semana del mes</t>
  </si>
  <si>
    <t xml:space="preserve">Las fórmulas de ingresos usan SUMPRODUCT con filtro de fecha. Para agregar nuevos meses, duplica las columnas B y C cambiando los valores DATE(). Alerta REVISAR = margen cayó por debajo del benchmark configurado en 04_CONFIG_PRECIOS.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</si>
</sst>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%"/>
    <numFmt numFmtId="168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3A5C"/>
        <bgColor rgb="FF3C3489"/>
      </patternFill>
    </fill>
    <fill>
      <patternFill patternType="solid">
        <fgColor rgb="FF2471A3"/>
        <bgColor rgb="FF008080"/>
      </patternFill>
    </fill>
    <fill>
      <patternFill patternType="solid">
        <fgColor rgb="FF1D9E75"/>
        <bgColor rgb="FF00808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EEDFE"/>
      </patternFill>
    </fill>
    <fill>
      <patternFill patternType="solid">
        <fgColor rgb="FFE6F1FB"/>
        <bgColor rgb="FFEEEDFE"/>
      </patternFill>
    </fill>
    <fill>
      <patternFill patternType="solid">
        <fgColor rgb="FFEAF3DE"/>
        <bgColor rgb="FFFAEEDA"/>
      </patternFill>
    </fill>
    <fill>
      <patternFill patternType="solid">
        <fgColor rgb="FFFFFF00"/>
        <bgColor rgb="FFFFFF00"/>
      </patternFill>
    </fill>
    <fill>
      <patternFill patternType="solid">
        <fgColor rgb="FF854F0B"/>
        <bgColor rgb="FF555555"/>
      </patternFill>
    </fill>
    <fill>
      <patternFill patternType="solid">
        <fgColor rgb="FFFAEEDA"/>
        <bgColor rgb="FFEAF3DE"/>
      </patternFill>
    </fill>
    <fill>
      <patternFill patternType="solid">
        <fgColor rgb="FF0F6E56"/>
        <bgColor rgb="FF008080"/>
      </patternFill>
    </fill>
    <fill>
      <patternFill patternType="solid">
        <fgColor rgb="FF555555"/>
        <bgColor rgb="FF666666"/>
      </patternFill>
    </fill>
    <fill>
      <patternFill patternType="solid">
        <fgColor rgb="FF3C3489"/>
        <bgColor rgb="FF1A3A5C"/>
      </patternFill>
    </fill>
    <fill>
      <patternFill patternType="solid">
        <fgColor rgb="FFEEEDFE"/>
        <bgColor rgb="FFE6F1FB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  <border diagonalUp="false" diagonalDown="false">
      <left style="thin">
        <color rgb="FF2471A3"/>
      </left>
      <right style="thin">
        <color rgb="FF2471A3"/>
      </right>
      <top style="thin">
        <color rgb="FF2471A3"/>
      </top>
      <bottom style="thin">
        <color rgb="FF2471A3"/>
      </bottom>
      <diagonal/>
    </border>
    <border diagonalUp="false" diagonalDown="false">
      <left style="thin">
        <color rgb="FF0F6E56"/>
      </left>
      <right style="thin">
        <color rgb="FF0F6E56"/>
      </right>
      <top style="thin">
        <color rgb="FF0F6E56"/>
      </top>
      <bottom style="thin">
        <color rgb="FF0F6E5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BDBDBD"/>
      <rgbColor rgb="FF777777"/>
      <rgbColor rgb="FF9999FF"/>
      <rgbColor rgb="FF993366"/>
      <rgbColor rgb="FFFAEEDA"/>
      <rgbColor rgb="FFE6F1FB"/>
      <rgbColor rgb="FF660066"/>
      <rgbColor rgb="FFFF8080"/>
      <rgbColor rgb="FF2471A3"/>
      <rgbColor rgb="FFD3D1C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EAF3DE"/>
      <rgbColor rgb="FFF5F5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A5C"/>
      <rgbColor rgb="FF1D9E75"/>
      <rgbColor rgb="FF003300"/>
      <rgbColor rgb="FF333300"/>
      <rgbColor rgb="FF854F0B"/>
      <rgbColor rgb="FF993366"/>
      <rgbColor rgb="FF3C348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0"/>
  </cols>
  <sheetData>
    <row r="1" customFormat="false" ht="24" hidden="false" customHeight="true" outlineLevel="0" collapsed="false">
      <c r="A1" s="2" t="s">
        <v>0</v>
      </c>
    </row>
    <row r="2" customFormat="false" ht="24" hidden="false" customHeight="true" outlineLevel="0" collapsed="false">
      <c r="A2" s="3" t="s">
        <v>1</v>
      </c>
    </row>
    <row r="4" customFormat="false" ht="19.5" hidden="false" customHeight="true" outlineLevel="0" collapsed="false">
      <c r="A4" s="4" t="s">
        <v>2</v>
      </c>
    </row>
    <row r="5" customFormat="false" ht="19.5" hidden="false" customHeight="true" outlineLevel="0" collapsed="false">
      <c r="A5" s="5" t="s">
        <v>3</v>
      </c>
    </row>
    <row r="6" customFormat="false" ht="19.5" hidden="false" customHeight="true" outlineLevel="0" collapsed="false">
      <c r="A6" s="5" t="s">
        <v>4</v>
      </c>
    </row>
    <row r="7" customFormat="false" ht="19.5" hidden="false" customHeight="true" outlineLevel="0" collapsed="false">
      <c r="A7" s="5" t="s">
        <v>5</v>
      </c>
    </row>
    <row r="8" customFormat="false" ht="19.5" hidden="false" customHeight="true" outlineLevel="0" collapsed="false">
      <c r="A8" s="5" t="s">
        <v>6</v>
      </c>
    </row>
    <row r="9" customFormat="false" ht="19.5" hidden="false" customHeight="true" outlineLevel="0" collapsed="false">
      <c r="A9" s="5" t="s">
        <v>7</v>
      </c>
    </row>
    <row r="11" customFormat="false" ht="19.5" hidden="false" customHeight="true" outlineLevel="0" collapsed="false">
      <c r="A11" s="4" t="s">
        <v>8</v>
      </c>
    </row>
    <row r="12" customFormat="false" ht="19.5" hidden="false" customHeight="true" outlineLevel="0" collapsed="false">
      <c r="A12" s="5" t="s">
        <v>9</v>
      </c>
    </row>
    <row r="13" customFormat="false" ht="19.5" hidden="false" customHeight="true" outlineLevel="0" collapsed="false">
      <c r="A13" s="5" t="s">
        <v>10</v>
      </c>
    </row>
    <row r="14" customFormat="false" ht="19.5" hidden="false" customHeight="true" outlineLevel="0" collapsed="false">
      <c r="A14" s="5" t="s">
        <v>11</v>
      </c>
    </row>
    <row r="15" customFormat="false" ht="19.5" hidden="false" customHeight="true" outlineLevel="0" collapsed="false">
      <c r="A15" s="5" t="s">
        <v>12</v>
      </c>
    </row>
    <row r="16" customFormat="false" ht="19.5" hidden="false" customHeight="true" outlineLevel="0" collapsed="false">
      <c r="A16" s="5" t="s">
        <v>13</v>
      </c>
    </row>
    <row r="17" customFormat="false" ht="19.5" hidden="false" customHeight="true" outlineLevel="0" collapsed="false">
      <c r="A17" s="5" t="s">
        <v>14</v>
      </c>
    </row>
    <row r="18" customFormat="false" ht="19.5" hidden="false" customHeight="true" outlineLevel="0" collapsed="false">
      <c r="A18" s="5" t="s">
        <v>15</v>
      </c>
    </row>
    <row r="20" customFormat="false" ht="19.5" hidden="false" customHeight="true" outlineLevel="0" collapsed="false">
      <c r="A20" s="4" t="s">
        <v>16</v>
      </c>
    </row>
    <row r="21" customFormat="false" ht="19.5" hidden="false" customHeight="true" outlineLevel="0" collapsed="false">
      <c r="A21" s="5" t="s">
        <v>17</v>
      </c>
    </row>
    <row r="22" customFormat="false" ht="19.5" hidden="false" customHeight="true" outlineLevel="0" collapsed="false">
      <c r="A22" s="5" t="s">
        <v>18</v>
      </c>
    </row>
    <row r="24" customFormat="false" ht="19.5" hidden="false" customHeight="true" outlineLevel="0" collapsed="false">
      <c r="A24" s="4" t="s">
        <v>19</v>
      </c>
    </row>
    <row r="25" customFormat="false" ht="19.5" hidden="false" customHeight="true" outlineLevel="0" collapsed="false">
      <c r="A25" s="5" t="s">
        <v>20</v>
      </c>
    </row>
    <row r="26" customFormat="false" ht="19.5" hidden="false" customHeight="true" outlineLevel="0" collapsed="false">
      <c r="A26" s="5" t="s">
        <v>21</v>
      </c>
    </row>
    <row r="27" customFormat="false" ht="19.5" hidden="false" customHeight="true" outlineLevel="0" collapsed="false">
      <c r="A27" s="5" t="s">
        <v>22</v>
      </c>
    </row>
    <row r="29" customFormat="false" ht="19.5" hidden="false" customHeight="true" outlineLevel="0" collapsed="false">
      <c r="A29" s="4" t="s">
        <v>23</v>
      </c>
    </row>
    <row r="30" customFormat="false" ht="19.5" hidden="false" customHeight="true" outlineLevel="0" collapsed="false">
      <c r="A30" s="5" t="s">
        <v>24</v>
      </c>
    </row>
    <row r="31" customFormat="false" ht="19.5" hidden="false" customHeight="true" outlineLevel="0" collapsed="false">
      <c r="A31" s="5" t="s">
        <v>25</v>
      </c>
    </row>
    <row r="32" customFormat="false" ht="19.5" hidden="false" customHeight="true" outlineLevel="0" collapsed="false">
      <c r="A32" s="5" t="s">
        <v>26</v>
      </c>
    </row>
    <row r="33" customFormat="false" ht="19.5" hidden="false" customHeight="true" outlineLevel="0" collapsed="false">
      <c r="A33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8" min="4" style="1" width="10"/>
    <col collapsed="false" customWidth="true" hidden="false" outlineLevel="0" max="16" min="9" style="1" width="14"/>
    <col collapsed="false" customWidth="true" hidden="false" outlineLevel="0" max="17" min="17" style="1" width="20"/>
  </cols>
  <sheetData>
    <row r="1" customFormat="false" ht="24" hidden="false" customHeight="true" outlineLevel="0" collapsed="false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customFormat="false" ht="18" hidden="false" customHeight="true" outlineLevel="0" collapsed="false">
      <c r="A2" s="7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7" t="s">
        <v>37</v>
      </c>
      <c r="J2" s="7" t="s">
        <v>38</v>
      </c>
      <c r="K2" s="7" t="s">
        <v>39</v>
      </c>
      <c r="L2" s="7" t="s">
        <v>40</v>
      </c>
      <c r="M2" s="7" t="s">
        <v>41</v>
      </c>
      <c r="N2" s="7" t="s">
        <v>42</v>
      </c>
      <c r="O2" s="7" t="s">
        <v>43</v>
      </c>
      <c r="P2" s="7" t="s">
        <v>44</v>
      </c>
      <c r="Q2" s="7" t="s">
        <v>45</v>
      </c>
    </row>
    <row r="3" customFormat="false" ht="15.75" hidden="false" customHeight="true" outlineLevel="0" collapsed="false">
      <c r="A3" s="8" t="s">
        <v>46</v>
      </c>
      <c r="B3" s="8" t="s">
        <v>47</v>
      </c>
      <c r="C3" s="8" t="s">
        <v>47</v>
      </c>
      <c r="D3" s="8" t="s">
        <v>48</v>
      </c>
      <c r="E3" s="8" t="s">
        <v>49</v>
      </c>
      <c r="F3" s="8" t="s">
        <v>49</v>
      </c>
      <c r="G3" s="8" t="s">
        <v>49</v>
      </c>
      <c r="H3" s="8" t="s">
        <v>49</v>
      </c>
      <c r="I3" s="8" t="s">
        <v>49</v>
      </c>
      <c r="J3" s="8" t="s">
        <v>50</v>
      </c>
      <c r="K3" s="8" t="s">
        <v>51</v>
      </c>
      <c r="L3" s="8" t="s">
        <v>51</v>
      </c>
      <c r="M3" s="8" t="s">
        <v>52</v>
      </c>
      <c r="N3" s="8" t="s">
        <v>52</v>
      </c>
      <c r="O3" s="8" t="s">
        <v>52</v>
      </c>
      <c r="P3" s="8" t="s">
        <v>52</v>
      </c>
      <c r="Q3" s="8" t="s">
        <v>53</v>
      </c>
    </row>
    <row r="4" customFormat="false" ht="15.75" hidden="false" customHeight="true" outlineLevel="0" collapsed="false">
      <c r="A4" s="9" t="s">
        <v>54</v>
      </c>
      <c r="B4" s="9" t="s">
        <v>55</v>
      </c>
      <c r="C4" s="9" t="s">
        <v>56</v>
      </c>
      <c r="D4" s="9" t="s">
        <v>57</v>
      </c>
      <c r="E4" s="10" t="n">
        <v>10</v>
      </c>
      <c r="F4" s="10" t="n">
        <v>9</v>
      </c>
      <c r="G4" s="10" t="n">
        <v>10</v>
      </c>
      <c r="H4" s="10" t="n">
        <v>1</v>
      </c>
      <c r="I4" s="10" t="n">
        <v>4</v>
      </c>
      <c r="J4" s="9" t="s">
        <v>58</v>
      </c>
      <c r="K4" s="10" t="n">
        <v>1929000</v>
      </c>
      <c r="L4" s="10" t="n">
        <v>1929000</v>
      </c>
      <c r="M4" s="11" t="n">
        <f aca="false">E4*04_CONFIG_PRECIOS!$B$3</f>
        <v>2120000</v>
      </c>
      <c r="N4" s="11" t="n">
        <f aca="false">F4*04_CONFIG_PRECIOS!$B$4</f>
        <v>810000</v>
      </c>
      <c r="O4" s="11" t="n">
        <f aca="false">G4*04_CONFIG_PRECIOS!$B$5</f>
        <v>900000</v>
      </c>
      <c r="P4" s="11" t="n">
        <f aca="false">IF(D4="2D1N",2,4)*04_CONFIG_PRECIOS!$B$6</f>
        <v>240000</v>
      </c>
      <c r="Q4" s="9" t="s">
        <v>59</v>
      </c>
    </row>
    <row r="5" customFormat="false" ht="15.75" hidden="false" customHeight="true" outlineLevel="0" collapsed="false">
      <c r="A5" s="12" t="s">
        <v>60</v>
      </c>
      <c r="B5" s="12" t="s">
        <v>61</v>
      </c>
      <c r="C5" s="12" t="s">
        <v>61</v>
      </c>
      <c r="D5" s="12" t="s">
        <v>57</v>
      </c>
      <c r="E5" s="12"/>
      <c r="F5" s="12"/>
      <c r="G5" s="12"/>
      <c r="H5" s="12"/>
      <c r="I5" s="12"/>
      <c r="J5" s="12" t="s">
        <v>62</v>
      </c>
      <c r="K5" s="12"/>
      <c r="L5" s="12"/>
      <c r="M5" s="12"/>
      <c r="N5" s="12"/>
      <c r="O5" s="12"/>
      <c r="P5" s="12"/>
      <c r="Q5" s="12"/>
    </row>
    <row r="6" customFormat="false" ht="27.75" hidden="false" customHeight="true" outlineLevel="0" collapsed="false">
      <c r="A6" s="13" t="s">
        <v>63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customFormat="false" ht="18" hidden="false" customHeight="true" outlineLevel="0" collapsed="false">
      <c r="A7" s="14" t="s">
        <v>64</v>
      </c>
      <c r="E7" s="15" t="n">
        <f aca="false">IFERROR(SUMPRODUCT(ISNUMBER(E4:E6)*(E4:E6)),0)</f>
        <v>10</v>
      </c>
      <c r="F7" s="15" t="n">
        <f aca="false">IFERROR(SUMPRODUCT(ISNUMBER(F4:F6)*(F4:F6)),0)</f>
        <v>9</v>
      </c>
      <c r="G7" s="15" t="n">
        <f aca="false">IFERROR(SUMPRODUCT(ISNUMBER(G4:G6)*(G4:G6)),0)</f>
        <v>10</v>
      </c>
      <c r="H7" s="15" t="n">
        <f aca="false">IFERROR(SUMPRODUCT(ISNUMBER(H4:H6)*(H4:H6)),0)</f>
        <v>1</v>
      </c>
      <c r="I7" s="15" t="n">
        <f aca="false">IFERROR(SUMPRODUCT(ISNUMBER(I4:I6)*(I4:I6)),0)</f>
        <v>4</v>
      </c>
      <c r="J7" s="15" t="n">
        <f aca="false">IFERROR(SUMPRODUCT(ISNUMBER(J4:J6)*(J4:J6)),0)</f>
        <v>0</v>
      </c>
      <c r="K7" s="15" t="n">
        <f aca="false">IFERROR(SUMPRODUCT(ISNUMBER(K4:K6)*(K4:K6)),0)</f>
        <v>1929000</v>
      </c>
      <c r="L7" s="15" t="n">
        <f aca="false">IFERROR(SUMPRODUCT(ISNUMBER(L4:L6)*(L4:L6)),0)</f>
        <v>1929000</v>
      </c>
      <c r="M7" s="15" t="n">
        <f aca="false">IFERROR(SUMPRODUCT(ISNUMBER(M4:M6)*(M4:M6)),0)</f>
        <v>2120000</v>
      </c>
      <c r="N7" s="15" t="n">
        <f aca="false">IFERROR(SUMPRODUCT(ISNUMBER(N4:N6)*(N4:N6)),0)</f>
        <v>810000</v>
      </c>
      <c r="O7" s="15" t="n">
        <f aca="false">IFERROR(SUMPRODUCT(ISNUMBER(O4:O6)*(O4:O6)),0)</f>
        <v>900000</v>
      </c>
      <c r="P7" s="15" t="n">
        <f aca="false">IFERROR(SUMPRODUCT(ISNUMBER(P4:P6)*(P4:P6)),0)</f>
        <v>240000</v>
      </c>
    </row>
  </sheetData>
  <mergeCells count="2">
    <mergeCell ref="A1:Q1"/>
    <mergeCell ref="A6:Q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4" min="3" style="1" width="16"/>
    <col collapsed="false" customWidth="true" hidden="false" outlineLevel="0" max="6" min="5" style="1" width="14"/>
    <col collapsed="false" customWidth="true" hidden="false" outlineLevel="0" max="7" min="7" style="1" width="22"/>
    <col collapsed="false" customWidth="true" hidden="false" outlineLevel="0" max="8" min="8" style="1" width="10"/>
  </cols>
  <sheetData>
    <row r="1" customFormat="false" ht="24" hidden="false" customHeight="true" outlineLevel="0" collapsed="false">
      <c r="A1" s="6" t="s">
        <v>65</v>
      </c>
      <c r="B1" s="6"/>
      <c r="C1" s="6"/>
      <c r="D1" s="6"/>
      <c r="E1" s="6"/>
      <c r="F1" s="6"/>
      <c r="G1" s="6"/>
      <c r="H1" s="6"/>
    </row>
    <row r="2" customFormat="false" ht="18" hidden="false" customHeight="true" outlineLevel="0" collapsed="false">
      <c r="A2" s="16" t="s">
        <v>29</v>
      </c>
      <c r="B2" s="16" t="s">
        <v>66</v>
      </c>
      <c r="C2" s="16" t="s">
        <v>67</v>
      </c>
      <c r="D2" s="16" t="s">
        <v>68</v>
      </c>
      <c r="E2" s="16" t="s">
        <v>69</v>
      </c>
      <c r="F2" s="16" t="s">
        <v>70</v>
      </c>
      <c r="G2" s="16" t="s">
        <v>71</v>
      </c>
      <c r="H2" s="16" t="s">
        <v>45</v>
      </c>
    </row>
    <row r="3" customFormat="false" ht="15.75" hidden="false" customHeight="true" outlineLevel="0" collapsed="false">
      <c r="A3" s="8" t="s">
        <v>72</v>
      </c>
      <c r="B3" s="8" t="s">
        <v>73</v>
      </c>
      <c r="C3" s="8" t="s">
        <v>74</v>
      </c>
      <c r="D3" s="8" t="s">
        <v>75</v>
      </c>
      <c r="E3" s="8" t="s">
        <v>51</v>
      </c>
      <c r="F3" s="8" t="s">
        <v>76</v>
      </c>
      <c r="G3" s="8" t="s">
        <v>73</v>
      </c>
      <c r="H3" s="8" t="s">
        <v>53</v>
      </c>
    </row>
    <row r="4" customFormat="false" ht="15" hidden="false" customHeight="true" outlineLevel="0" collapsed="false">
      <c r="A4" s="17" t="s">
        <v>54</v>
      </c>
      <c r="B4" s="17" t="s">
        <v>77</v>
      </c>
      <c r="C4" s="17" t="s">
        <v>78</v>
      </c>
      <c r="D4" s="17" t="s">
        <v>79</v>
      </c>
      <c r="E4" s="18" t="n">
        <v>18400</v>
      </c>
      <c r="F4" s="17" t="s">
        <v>80</v>
      </c>
      <c r="G4" s="17" t="s">
        <v>81</v>
      </c>
      <c r="H4" s="17"/>
    </row>
    <row r="5" customFormat="false" ht="15" hidden="false" customHeight="true" outlineLevel="0" collapsed="false">
      <c r="A5" s="17" t="s">
        <v>54</v>
      </c>
      <c r="B5" s="17" t="s">
        <v>82</v>
      </c>
      <c r="C5" s="17" t="s">
        <v>83</v>
      </c>
      <c r="D5" s="17" t="s">
        <v>79</v>
      </c>
      <c r="E5" s="18" t="n">
        <v>31700</v>
      </c>
      <c r="F5" s="17" t="s">
        <v>80</v>
      </c>
      <c r="G5" s="17" t="s">
        <v>81</v>
      </c>
      <c r="H5" s="17"/>
    </row>
    <row r="6" customFormat="false" ht="15" hidden="false" customHeight="true" outlineLevel="0" collapsed="false">
      <c r="A6" s="17" t="s">
        <v>54</v>
      </c>
      <c r="B6" s="17" t="s">
        <v>84</v>
      </c>
      <c r="C6" s="17" t="s">
        <v>85</v>
      </c>
      <c r="D6" s="17" t="s">
        <v>79</v>
      </c>
      <c r="E6" s="18" t="n">
        <v>7500</v>
      </c>
      <c r="F6" s="17" t="s">
        <v>80</v>
      </c>
      <c r="G6" s="17" t="s">
        <v>81</v>
      </c>
      <c r="H6" s="17"/>
    </row>
    <row r="7" customFormat="false" ht="15" hidden="false" customHeight="true" outlineLevel="0" collapsed="false">
      <c r="A7" s="17" t="s">
        <v>54</v>
      </c>
      <c r="B7" s="17" t="s">
        <v>86</v>
      </c>
      <c r="C7" s="17" t="s">
        <v>87</v>
      </c>
      <c r="D7" s="17" t="s">
        <v>79</v>
      </c>
      <c r="E7" s="18" t="n">
        <v>18000</v>
      </c>
      <c r="F7" s="17" t="s">
        <v>80</v>
      </c>
      <c r="G7" s="17" t="s">
        <v>81</v>
      </c>
      <c r="H7" s="17"/>
    </row>
    <row r="8" customFormat="false" ht="15" hidden="false" customHeight="true" outlineLevel="0" collapsed="false">
      <c r="A8" s="17" t="s">
        <v>54</v>
      </c>
      <c r="B8" s="17" t="s">
        <v>88</v>
      </c>
      <c r="C8" s="17" t="s">
        <v>78</v>
      </c>
      <c r="D8" s="17" t="s">
        <v>79</v>
      </c>
      <c r="E8" s="18" t="n">
        <v>6800</v>
      </c>
      <c r="F8" s="17" t="s">
        <v>80</v>
      </c>
      <c r="G8" s="17" t="s">
        <v>81</v>
      </c>
      <c r="H8" s="17"/>
    </row>
    <row r="9" customFormat="false" ht="15" hidden="false" customHeight="true" outlineLevel="0" collapsed="false">
      <c r="A9" s="17" t="s">
        <v>54</v>
      </c>
      <c r="B9" s="17" t="s">
        <v>89</v>
      </c>
      <c r="C9" s="17" t="s">
        <v>87</v>
      </c>
      <c r="D9" s="17" t="s">
        <v>79</v>
      </c>
      <c r="E9" s="18" t="n">
        <v>20200</v>
      </c>
      <c r="F9" s="17" t="s">
        <v>80</v>
      </c>
      <c r="G9" s="17" t="s">
        <v>81</v>
      </c>
      <c r="H9" s="17"/>
    </row>
    <row r="10" customFormat="false" ht="15" hidden="false" customHeight="true" outlineLevel="0" collapsed="false">
      <c r="A10" s="17" t="s">
        <v>54</v>
      </c>
      <c r="B10" s="17" t="s">
        <v>90</v>
      </c>
      <c r="C10" s="17" t="s">
        <v>78</v>
      </c>
      <c r="D10" s="17" t="s">
        <v>79</v>
      </c>
      <c r="E10" s="18" t="n">
        <v>4000</v>
      </c>
      <c r="F10" s="17" t="s">
        <v>80</v>
      </c>
      <c r="G10" s="17" t="s">
        <v>81</v>
      </c>
      <c r="H10" s="17" t="s">
        <v>91</v>
      </c>
    </row>
    <row r="11" customFormat="false" ht="15" hidden="false" customHeight="true" outlineLevel="0" collapsed="false">
      <c r="A11" s="17" t="s">
        <v>54</v>
      </c>
      <c r="B11" s="17" t="s">
        <v>92</v>
      </c>
      <c r="C11" s="17" t="s">
        <v>83</v>
      </c>
      <c r="D11" s="17" t="s">
        <v>79</v>
      </c>
      <c r="E11" s="18" t="n">
        <v>8000</v>
      </c>
      <c r="F11" s="17" t="s">
        <v>80</v>
      </c>
      <c r="G11" s="17" t="s">
        <v>81</v>
      </c>
      <c r="H11" s="17"/>
    </row>
    <row r="12" customFormat="false" ht="15" hidden="false" customHeight="true" outlineLevel="0" collapsed="false">
      <c r="A12" s="17" t="s">
        <v>54</v>
      </c>
      <c r="B12" s="17" t="s">
        <v>93</v>
      </c>
      <c r="C12" s="17" t="s">
        <v>83</v>
      </c>
      <c r="D12" s="17" t="s">
        <v>79</v>
      </c>
      <c r="E12" s="18" t="n">
        <v>3000</v>
      </c>
      <c r="F12" s="17" t="s">
        <v>80</v>
      </c>
      <c r="G12" s="17" t="s">
        <v>81</v>
      </c>
      <c r="H12" s="17"/>
    </row>
    <row r="13" customFormat="false" ht="15" hidden="false" customHeight="true" outlineLevel="0" collapsed="false">
      <c r="A13" s="17" t="s">
        <v>54</v>
      </c>
      <c r="B13" s="17" t="s">
        <v>94</v>
      </c>
      <c r="C13" s="17" t="s">
        <v>83</v>
      </c>
      <c r="D13" s="17" t="s">
        <v>79</v>
      </c>
      <c r="E13" s="18" t="n">
        <v>20000</v>
      </c>
      <c r="F13" s="17" t="s">
        <v>80</v>
      </c>
      <c r="G13" s="17" t="s">
        <v>81</v>
      </c>
      <c r="H13" s="17" t="s">
        <v>95</v>
      </c>
    </row>
    <row r="14" customFormat="false" ht="15" hidden="false" customHeight="true" outlineLevel="0" collapsed="false">
      <c r="A14" s="17" t="s">
        <v>54</v>
      </c>
      <c r="B14" s="17" t="s">
        <v>96</v>
      </c>
      <c r="C14" s="17" t="s">
        <v>87</v>
      </c>
      <c r="D14" s="17" t="s">
        <v>79</v>
      </c>
      <c r="E14" s="18" t="n">
        <v>7000</v>
      </c>
      <c r="F14" s="17" t="s">
        <v>80</v>
      </c>
      <c r="G14" s="17" t="s">
        <v>81</v>
      </c>
      <c r="H14" s="17"/>
    </row>
    <row r="15" customFormat="false" ht="15" hidden="false" customHeight="true" outlineLevel="0" collapsed="false">
      <c r="A15" s="17" t="s">
        <v>54</v>
      </c>
      <c r="B15" s="17" t="s">
        <v>97</v>
      </c>
      <c r="C15" s="17" t="s">
        <v>83</v>
      </c>
      <c r="D15" s="17" t="s">
        <v>79</v>
      </c>
      <c r="E15" s="18" t="n">
        <v>45900</v>
      </c>
      <c r="F15" s="17" t="s">
        <v>80</v>
      </c>
      <c r="G15" s="17" t="s">
        <v>98</v>
      </c>
      <c r="H15" s="17"/>
    </row>
    <row r="16" customFormat="false" ht="15" hidden="false" customHeight="true" outlineLevel="0" collapsed="false">
      <c r="A16" s="17" t="s">
        <v>54</v>
      </c>
      <c r="B16" s="17" t="s">
        <v>99</v>
      </c>
      <c r="C16" s="17" t="s">
        <v>85</v>
      </c>
      <c r="D16" s="17" t="s">
        <v>79</v>
      </c>
      <c r="E16" s="18" t="n">
        <v>14500</v>
      </c>
      <c r="F16" s="17" t="s">
        <v>80</v>
      </c>
      <c r="G16" s="17" t="s">
        <v>98</v>
      </c>
      <c r="H16" s="17" t="s">
        <v>100</v>
      </c>
    </row>
    <row r="17" customFormat="false" ht="15" hidden="false" customHeight="true" outlineLevel="0" collapsed="false">
      <c r="A17" s="17" t="s">
        <v>54</v>
      </c>
      <c r="B17" s="17" t="s">
        <v>101</v>
      </c>
      <c r="C17" s="17" t="s">
        <v>85</v>
      </c>
      <c r="D17" s="17" t="s">
        <v>79</v>
      </c>
      <c r="E17" s="18" t="n">
        <v>18400</v>
      </c>
      <c r="F17" s="17" t="s">
        <v>102</v>
      </c>
      <c r="G17" s="17" t="s">
        <v>103</v>
      </c>
      <c r="H17" s="17" t="s">
        <v>104</v>
      </c>
    </row>
    <row r="18" customFormat="false" ht="15" hidden="false" customHeight="true" outlineLevel="0" collapsed="false">
      <c r="A18" s="17" t="s">
        <v>54</v>
      </c>
      <c r="B18" s="17" t="s">
        <v>105</v>
      </c>
      <c r="C18" s="17" t="s">
        <v>85</v>
      </c>
      <c r="D18" s="17" t="s">
        <v>79</v>
      </c>
      <c r="E18" s="18" t="n">
        <v>24000</v>
      </c>
      <c r="F18" s="17" t="s">
        <v>102</v>
      </c>
      <c r="G18" s="17" t="s">
        <v>106</v>
      </c>
      <c r="H18" s="17" t="s">
        <v>100</v>
      </c>
    </row>
    <row r="19" customFormat="false" ht="15" hidden="false" customHeight="true" outlineLevel="0" collapsed="false">
      <c r="A19" s="19" t="s">
        <v>54</v>
      </c>
      <c r="B19" s="19" t="s">
        <v>107</v>
      </c>
      <c r="C19" s="19" t="s">
        <v>108</v>
      </c>
      <c r="D19" s="19" t="s">
        <v>109</v>
      </c>
      <c r="E19" s="20" t="n">
        <v>47000</v>
      </c>
      <c r="F19" s="19" t="s">
        <v>102</v>
      </c>
      <c r="G19" s="19" t="s">
        <v>106</v>
      </c>
      <c r="H19" s="19" t="s">
        <v>110</v>
      </c>
    </row>
    <row r="20" customFormat="false" ht="15" hidden="false" customHeight="true" outlineLevel="0" collapsed="false">
      <c r="A20" s="19" t="s">
        <v>54</v>
      </c>
      <c r="B20" s="19" t="s">
        <v>111</v>
      </c>
      <c r="C20" s="19" t="s">
        <v>108</v>
      </c>
      <c r="D20" s="19" t="s">
        <v>109</v>
      </c>
      <c r="E20" s="20" t="n">
        <v>55500</v>
      </c>
      <c r="F20" s="19" t="s">
        <v>102</v>
      </c>
      <c r="G20" s="19" t="s">
        <v>112</v>
      </c>
      <c r="H20" s="19" t="s">
        <v>110</v>
      </c>
    </row>
    <row r="21" customFormat="false" ht="15" hidden="false" customHeight="true" outlineLevel="0" collapsed="false">
      <c r="A21" s="19" t="s">
        <v>54</v>
      </c>
      <c r="B21" s="19" t="s">
        <v>113</v>
      </c>
      <c r="C21" s="19" t="s">
        <v>108</v>
      </c>
      <c r="D21" s="19" t="s">
        <v>109</v>
      </c>
      <c r="E21" s="20" t="n">
        <v>10000</v>
      </c>
      <c r="F21" s="19" t="s">
        <v>102</v>
      </c>
      <c r="G21" s="19" t="s">
        <v>114</v>
      </c>
      <c r="H21" s="19" t="s">
        <v>110</v>
      </c>
    </row>
    <row r="22" customFormat="false" ht="15" hidden="false" customHeight="true" outlineLevel="0" collapsed="false">
      <c r="A22" s="12" t="s">
        <v>60</v>
      </c>
      <c r="B22" s="12"/>
      <c r="C22" s="12"/>
      <c r="D22" s="12"/>
      <c r="E22" s="12"/>
      <c r="F22" s="12" t="s">
        <v>80</v>
      </c>
      <c r="G22" s="12"/>
      <c r="H22" s="12"/>
    </row>
    <row r="23" customFormat="false" ht="27.75" hidden="false" customHeight="true" outlineLevel="0" collapsed="false">
      <c r="A23" s="13" t="s">
        <v>115</v>
      </c>
      <c r="B23" s="13"/>
      <c r="C23" s="13"/>
      <c r="D23" s="13"/>
      <c r="E23" s="13"/>
      <c r="F23" s="13"/>
      <c r="G23" s="13"/>
      <c r="H23" s="13"/>
    </row>
    <row r="25" customFormat="false" ht="18" hidden="false" customHeight="true" outlineLevel="0" collapsed="false">
      <c r="A25" s="21" t="s">
        <v>116</v>
      </c>
      <c r="E25" s="22" t="n">
        <f aca="false">SUMIF(D4:D100,"operativo",E4:E100)</f>
        <v>247400</v>
      </c>
    </row>
    <row r="26" customFormat="false" ht="18" hidden="false" customHeight="true" outlineLevel="0" collapsed="false">
      <c r="A26" s="21" t="s">
        <v>117</v>
      </c>
      <c r="E26" s="22" t="n">
        <f aca="false">SUMIF(D4:D100,"extraordinario",E4:E100)</f>
        <v>112500</v>
      </c>
    </row>
    <row r="27" customFormat="false" ht="18" hidden="false" customHeight="true" outlineLevel="0" collapsed="false">
      <c r="A27" s="23" t="s">
        <v>118</v>
      </c>
      <c r="E27" s="15" t="n">
        <f aca="false">E25+E26</f>
        <v>359900</v>
      </c>
    </row>
  </sheetData>
  <mergeCells count="2">
    <mergeCell ref="A1:H1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7" min="3" style="1" width="14"/>
  </cols>
  <sheetData>
    <row r="1" customFormat="false" ht="24" hidden="false" customHeight="true" outlineLevel="0" collapsed="false">
      <c r="A1" s="24" t="s">
        <v>119</v>
      </c>
      <c r="B1" s="24"/>
      <c r="C1" s="24"/>
      <c r="D1" s="24"/>
      <c r="E1" s="24"/>
      <c r="F1" s="24"/>
      <c r="G1" s="24"/>
    </row>
    <row r="2" customFormat="false" ht="18" hidden="false" customHeight="true" outlineLevel="0" collapsed="false">
      <c r="A2" s="25" t="s">
        <v>29</v>
      </c>
      <c r="B2" s="25" t="s">
        <v>120</v>
      </c>
      <c r="C2" s="25" t="s">
        <v>121</v>
      </c>
      <c r="D2" s="25" t="s">
        <v>122</v>
      </c>
      <c r="E2" s="25" t="s">
        <v>123</v>
      </c>
      <c r="F2" s="25" t="s">
        <v>124</v>
      </c>
      <c r="G2" s="25" t="s">
        <v>125</v>
      </c>
    </row>
    <row r="3" customFormat="false" ht="15.75" hidden="false" customHeight="true" outlineLevel="0" collapsed="false">
      <c r="A3" s="8" t="s">
        <v>72</v>
      </c>
      <c r="B3" s="8" t="s">
        <v>73</v>
      </c>
      <c r="C3" s="8" t="s">
        <v>126</v>
      </c>
      <c r="D3" s="8" t="s">
        <v>52</v>
      </c>
      <c r="E3" s="8" t="s">
        <v>52</v>
      </c>
      <c r="F3" s="8" t="s">
        <v>127</v>
      </c>
      <c r="G3" s="8" t="s">
        <v>52</v>
      </c>
    </row>
    <row r="4" customFormat="false" ht="18" hidden="false" customHeight="true" outlineLevel="0" collapsed="false">
      <c r="A4" s="26" t="s">
        <v>128</v>
      </c>
      <c r="B4" s="26"/>
      <c r="C4" s="26"/>
      <c r="D4" s="26"/>
      <c r="E4" s="26"/>
      <c r="F4" s="26"/>
      <c r="G4" s="26"/>
    </row>
    <row r="5" customFormat="false" ht="15" hidden="false" customHeight="true" outlineLevel="0" collapsed="false">
      <c r="A5" s="17" t="s">
        <v>54</v>
      </c>
      <c r="B5" s="27" t="s">
        <v>84</v>
      </c>
      <c r="C5" s="27" t="s">
        <v>129</v>
      </c>
      <c r="D5" s="28" t="n">
        <f aca="false">01_RESERVAS!H4</f>
        <v>1</v>
      </c>
      <c r="E5" s="29" t="n">
        <f aca="false">IFERROR(CEILING(D5,1),D5)</f>
        <v>1</v>
      </c>
      <c r="F5" s="30" t="n">
        <f aca="false">04_CONFIG_PRECIOS!$B$11</f>
        <v>7500</v>
      </c>
      <c r="G5" s="29" t="n">
        <f aca="false">IFERROR(E5*F5,0)</f>
        <v>7500</v>
      </c>
    </row>
    <row r="6" customFormat="false" ht="15" hidden="false" customHeight="true" outlineLevel="0" collapsed="false">
      <c r="A6" s="17" t="s">
        <v>54</v>
      </c>
      <c r="B6" s="27" t="s">
        <v>130</v>
      </c>
      <c r="C6" s="27" t="s">
        <v>129</v>
      </c>
      <c r="D6" s="28" t="n">
        <f aca="false">01_RESERVAS!H4</f>
        <v>1</v>
      </c>
      <c r="E6" s="29" t="n">
        <f aca="false">IFERROR(CEILING(D6,1),D6)</f>
        <v>1</v>
      </c>
      <c r="F6" s="30" t="n">
        <f aca="false">04_CONFIG_PRECIOS!$B$12</f>
        <v>2000</v>
      </c>
      <c r="G6" s="29" t="n">
        <f aca="false">IFERROR(E6*F6,0)</f>
        <v>2000</v>
      </c>
    </row>
    <row r="7" customFormat="false" ht="15" hidden="false" customHeight="true" outlineLevel="0" collapsed="false">
      <c r="A7" s="17" t="s">
        <v>54</v>
      </c>
      <c r="B7" s="27" t="s">
        <v>131</v>
      </c>
      <c r="C7" s="27" t="s">
        <v>132</v>
      </c>
      <c r="D7" s="28" t="n">
        <f aca="false">CEILING(01_RESERVAS!H4*30/250,1)</f>
        <v>1</v>
      </c>
      <c r="E7" s="29" t="n">
        <f aca="false">IFERROR(CEILING(D7,1),D7)</f>
        <v>1</v>
      </c>
      <c r="F7" s="30" t="n">
        <f aca="false">04_CONFIG_PRECIOS!$B$13</f>
        <v>6800</v>
      </c>
      <c r="G7" s="29" t="n">
        <f aca="false">IFERROR(E7*F7,0)</f>
        <v>6800</v>
      </c>
    </row>
    <row r="8" customFormat="false" ht="15" hidden="false" customHeight="true" outlineLevel="0" collapsed="false">
      <c r="A8" s="17" t="s">
        <v>54</v>
      </c>
      <c r="B8" s="27" t="s">
        <v>133</v>
      </c>
      <c r="C8" s="27" t="s">
        <v>129</v>
      </c>
      <c r="D8" s="28" t="n">
        <f aca="false">CEILING(01_RESERVAS!H4/6,1)</f>
        <v>1</v>
      </c>
      <c r="E8" s="29" t="n">
        <f aca="false">IFERROR(CEILING(D8,1),D8)</f>
        <v>1</v>
      </c>
      <c r="F8" s="30" t="n">
        <f aca="false">04_CONFIG_PRECIOS!$B$14</f>
        <v>3000</v>
      </c>
      <c r="G8" s="29" t="n">
        <f aca="false">IFERROR(E8*F8,0)</f>
        <v>3000</v>
      </c>
    </row>
    <row r="9" customFormat="false" ht="15" hidden="false" customHeight="true" outlineLevel="0" collapsed="false">
      <c r="A9" s="17" t="s">
        <v>54</v>
      </c>
      <c r="B9" s="27" t="s">
        <v>134</v>
      </c>
      <c r="C9" s="27" t="s">
        <v>129</v>
      </c>
      <c r="D9" s="28" t="n">
        <f aca="false">01_RESERVAS!I4</f>
        <v>4</v>
      </c>
      <c r="E9" s="29" t="n">
        <f aca="false">IFERROR(CEILING(D9,1),D9)</f>
        <v>4</v>
      </c>
      <c r="F9" s="30" t="n">
        <f aca="false">04_CONFIG_PRECIOS!$B$15</f>
        <v>18400</v>
      </c>
      <c r="G9" s="29" t="n">
        <f aca="false">IFERROR(E9*F9,0)</f>
        <v>73600</v>
      </c>
    </row>
    <row r="10" customFormat="false" ht="15" hidden="false" customHeight="true" outlineLevel="0" collapsed="false">
      <c r="A10" s="17" t="s">
        <v>54</v>
      </c>
      <c r="B10" s="27" t="s">
        <v>135</v>
      </c>
      <c r="C10" s="27" t="s">
        <v>136</v>
      </c>
      <c r="D10" s="28" t="n">
        <f aca="false">(01_RESERVAS!H4+01_RESERVAS!I4)*0.15</f>
        <v>0.75</v>
      </c>
      <c r="E10" s="29" t="n">
        <f aca="false">IFERROR(CEILING(D10,1),D10)</f>
        <v>1</v>
      </c>
      <c r="F10" s="30" t="n">
        <f aca="false">04_CONFIG_PRECIOS!$B$16</f>
        <v>3200</v>
      </c>
      <c r="G10" s="29" t="n">
        <f aca="false">IFERROR(E10*F10,0)</f>
        <v>3200</v>
      </c>
    </row>
    <row r="11" customFormat="false" ht="18" hidden="false" customHeight="true" outlineLevel="0" collapsed="false">
      <c r="A11" s="31" t="s">
        <v>137</v>
      </c>
      <c r="B11" s="31"/>
      <c r="C11" s="31"/>
      <c r="D11" s="31"/>
      <c r="E11" s="31"/>
      <c r="F11" s="31"/>
      <c r="G11" s="31"/>
    </row>
    <row r="12" customFormat="false" ht="15" hidden="false" customHeight="true" outlineLevel="0" collapsed="false">
      <c r="A12" s="17" t="s">
        <v>54</v>
      </c>
      <c r="B12" s="27" t="s">
        <v>138</v>
      </c>
      <c r="C12" s="27" t="s">
        <v>136</v>
      </c>
      <c r="D12" s="28" t="n">
        <f aca="false">01_RESERVAS!E4*0.05</f>
        <v>0.5</v>
      </c>
      <c r="E12" s="29" t="n">
        <f aca="false">IFERROR(CEILING(D12,1),D12)</f>
        <v>1</v>
      </c>
      <c r="F12" s="30" t="n">
        <f aca="false">04_CONFIG_PRECIOS!$B$20</f>
        <v>91800</v>
      </c>
      <c r="G12" s="29" t="n">
        <f aca="false">IFERROR(E12*F12,0)</f>
        <v>91800</v>
      </c>
    </row>
    <row r="13" customFormat="false" ht="15" hidden="false" customHeight="true" outlineLevel="0" collapsed="false">
      <c r="A13" s="17" t="s">
        <v>54</v>
      </c>
      <c r="B13" s="27" t="s">
        <v>139</v>
      </c>
      <c r="C13" s="27" t="s">
        <v>136</v>
      </c>
      <c r="D13" s="28" t="n">
        <f aca="false">01_RESERVAS!E4*0.25</f>
        <v>2.5</v>
      </c>
      <c r="E13" s="29" t="n">
        <f aca="false">IFERROR(CEILING(D13,1),D13)</f>
        <v>3</v>
      </c>
      <c r="F13" s="30" t="n">
        <f aca="false">04_CONFIG_PRECIOS!$B$21</f>
        <v>3200</v>
      </c>
      <c r="G13" s="29" t="n">
        <f aca="false">IFERROR(E13*F13,0)</f>
        <v>9600</v>
      </c>
    </row>
    <row r="14" customFormat="false" ht="15" hidden="false" customHeight="true" outlineLevel="0" collapsed="false">
      <c r="A14" s="17" t="s">
        <v>54</v>
      </c>
      <c r="B14" s="27" t="s">
        <v>140</v>
      </c>
      <c r="C14" s="27" t="s">
        <v>141</v>
      </c>
      <c r="D14" s="28" t="n">
        <f aca="false">01_RESERVAS!E4*50</f>
        <v>500</v>
      </c>
      <c r="E14" s="29" t="n">
        <f aca="false">IFERROR(CEILING(D14,1),D14)</f>
        <v>500</v>
      </c>
      <c r="F14" s="30" t="n">
        <f aca="false">04_CONFIG_PRECIOS!$B$22</f>
        <v>0.006</v>
      </c>
      <c r="G14" s="29" t="n">
        <f aca="false">IFERROR(E14*F14,0)</f>
        <v>3</v>
      </c>
    </row>
    <row r="15" customFormat="false" ht="15" hidden="false" customHeight="true" outlineLevel="0" collapsed="false">
      <c r="A15" s="17" t="s">
        <v>54</v>
      </c>
      <c r="B15" s="27" t="s">
        <v>142</v>
      </c>
      <c r="C15" s="27" t="s">
        <v>143</v>
      </c>
      <c r="D15" s="28" t="n">
        <f aca="false">CEILING(01_RESERVAS!E4*0.6/6,1)</f>
        <v>1</v>
      </c>
      <c r="E15" s="29" t="n">
        <f aca="false">IFERROR(CEILING(D15,1),D15)</f>
        <v>1</v>
      </c>
      <c r="F15" s="30" t="n">
        <f aca="false">04_CONFIG_PRECIOS!$B$23</f>
        <v>31700</v>
      </c>
      <c r="G15" s="29" t="n">
        <f aca="false">IFERROR(E15*F15,0)</f>
        <v>31700</v>
      </c>
    </row>
    <row r="16" customFormat="false" ht="15" hidden="false" customHeight="true" outlineLevel="0" collapsed="false">
      <c r="A16" s="17" t="s">
        <v>54</v>
      </c>
      <c r="B16" s="27" t="s">
        <v>144</v>
      </c>
      <c r="C16" s="27" t="s">
        <v>129</v>
      </c>
      <c r="D16" s="28" t="n">
        <f aca="false">01_RESERVAS!E4</f>
        <v>10</v>
      </c>
      <c r="E16" s="29" t="n">
        <f aca="false">IFERROR(CEILING(D16,1),D16)</f>
        <v>10</v>
      </c>
      <c r="F16" s="30" t="n">
        <f aca="false">04_CONFIG_PRECIOS!$B$24</f>
        <v>6000</v>
      </c>
      <c r="G16" s="29" t="n">
        <f aca="false">IFERROR(E16*F16,0)</f>
        <v>60000</v>
      </c>
    </row>
    <row r="17" customFormat="false" ht="15" hidden="false" customHeight="true" outlineLevel="0" collapsed="false">
      <c r="A17" s="17" t="s">
        <v>54</v>
      </c>
      <c r="B17" s="27" t="s">
        <v>145</v>
      </c>
      <c r="C17" s="27" t="s">
        <v>146</v>
      </c>
      <c r="D17" s="28" t="n">
        <f aca="false">01_RESERVAS!E4</f>
        <v>10</v>
      </c>
      <c r="E17" s="29" t="n">
        <f aca="false">IFERROR(CEILING(D17,1),D17)</f>
        <v>10</v>
      </c>
      <c r="F17" s="30" t="n">
        <f aca="false">04_CONFIG_PRECIOS!$B$25</f>
        <v>1000</v>
      </c>
      <c r="G17" s="29" t="n">
        <f aca="false">IFERROR(E17*F17,0)</f>
        <v>10000</v>
      </c>
    </row>
    <row r="18" customFormat="false" ht="15" hidden="false" customHeight="true" outlineLevel="0" collapsed="false">
      <c r="A18" s="17" t="s">
        <v>54</v>
      </c>
      <c r="B18" s="27" t="s">
        <v>147</v>
      </c>
      <c r="C18" s="27" t="s">
        <v>132</v>
      </c>
      <c r="D18" s="28" t="n">
        <f aca="false">1</f>
        <v>1</v>
      </c>
      <c r="E18" s="29" t="n">
        <f aca="false">IFERROR(CEILING(D18,1),D18)</f>
        <v>1</v>
      </c>
      <c r="F18" s="30" t="n">
        <f aca="false">04_CONFIG_PRECIOS!$B$26</f>
        <v>4000</v>
      </c>
      <c r="G18" s="29" t="n">
        <f aca="false">IFERROR(E18*F18,0)</f>
        <v>4000</v>
      </c>
    </row>
    <row r="19" customFormat="false" ht="18" hidden="false" customHeight="true" outlineLevel="0" collapsed="false">
      <c r="A19" s="32" t="s">
        <v>148</v>
      </c>
      <c r="B19" s="32"/>
      <c r="C19" s="32"/>
      <c r="D19" s="32"/>
      <c r="E19" s="32"/>
      <c r="F19" s="32"/>
      <c r="G19" s="32"/>
    </row>
    <row r="20" customFormat="false" ht="15" hidden="false" customHeight="true" outlineLevel="0" collapsed="false">
      <c r="A20" s="33" t="s">
        <v>54</v>
      </c>
      <c r="B20" s="34" t="s">
        <v>149</v>
      </c>
      <c r="C20" s="34" t="s">
        <v>129</v>
      </c>
      <c r="D20" s="35" t="n">
        <f aca="false">1</f>
        <v>1</v>
      </c>
      <c r="E20" s="36" t="n">
        <f aca="false">IFERROR(CEILING(D20,1),D20)</f>
        <v>1</v>
      </c>
      <c r="F20" s="37" t="n">
        <f aca="false">04_CONFIG_PRECIOS!$B$30</f>
        <v>18400</v>
      </c>
      <c r="G20" s="36" t="n">
        <f aca="false">IFERROR(E20*F20,0)</f>
        <v>18400</v>
      </c>
    </row>
    <row r="21" customFormat="false" ht="15" hidden="false" customHeight="true" outlineLevel="0" collapsed="false">
      <c r="A21" s="33" t="s">
        <v>54</v>
      </c>
      <c r="B21" s="34" t="s">
        <v>150</v>
      </c>
      <c r="C21" s="34" t="s">
        <v>151</v>
      </c>
      <c r="D21" s="35" t="n">
        <f aca="false">1</f>
        <v>1</v>
      </c>
      <c r="E21" s="36" t="n">
        <f aca="false">IFERROR(CEILING(D21,1),D21)</f>
        <v>1</v>
      </c>
      <c r="F21" s="37" t="n">
        <f aca="false">04_CONFIG_PRECIOS!$B$31</f>
        <v>8000</v>
      </c>
      <c r="G21" s="36" t="n">
        <f aca="false">IFERROR(E21*F21,0)</f>
        <v>8000</v>
      </c>
    </row>
    <row r="22" customFormat="false" ht="15" hidden="false" customHeight="true" outlineLevel="0" collapsed="false">
      <c r="A22" s="33" t="s">
        <v>54</v>
      </c>
      <c r="B22" s="34" t="s">
        <v>152</v>
      </c>
      <c r="C22" s="34" t="s">
        <v>153</v>
      </c>
      <c r="D22" s="35" t="str">
        <f aca="false">IF(1=1,"verificar",0)</f>
        <v>verificar</v>
      </c>
      <c r="E22" s="36" t="str">
        <f aca="false">IFERROR(CEILING(D22,1),D22)</f>
        <v>verificar</v>
      </c>
      <c r="F22" s="37" t="s">
        <v>154</v>
      </c>
      <c r="G22" s="36" t="n">
        <f aca="false">IFERROR(E22*F22,0)</f>
        <v>0</v>
      </c>
    </row>
    <row r="24" customFormat="false" ht="18" hidden="false" customHeight="true" outlineLevel="0" collapsed="false">
      <c r="A24" s="38" t="s">
        <v>155</v>
      </c>
      <c r="G24" s="39" t="n">
        <f aca="false">SUM(G4:G23)</f>
        <v>329603</v>
      </c>
    </row>
    <row r="25" customFormat="false" ht="27.75" hidden="false" customHeight="true" outlineLevel="0" collapsed="false">
      <c r="A25" s="13" t="s">
        <v>156</v>
      </c>
      <c r="B25" s="13"/>
      <c r="C25" s="13"/>
      <c r="D25" s="13"/>
      <c r="E25" s="13"/>
      <c r="F25" s="13"/>
      <c r="G25" s="13"/>
    </row>
  </sheetData>
  <mergeCells count="5">
    <mergeCell ref="A1:G1"/>
    <mergeCell ref="A4:G4"/>
    <mergeCell ref="A11:G11"/>
    <mergeCell ref="A19:G19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28"/>
  </cols>
  <sheetData>
    <row r="1" customFormat="false" ht="24" hidden="false" customHeight="true" outlineLevel="0" collapsed="false">
      <c r="A1" s="40" t="s">
        <v>157</v>
      </c>
      <c r="B1" s="40"/>
      <c r="C1" s="40"/>
    </row>
    <row r="2" customFormat="false" ht="18" hidden="false" customHeight="true" outlineLevel="0" collapsed="false">
      <c r="A2" s="41" t="s">
        <v>158</v>
      </c>
      <c r="B2" s="41"/>
      <c r="C2" s="41"/>
    </row>
    <row r="3" customFormat="false" ht="15" hidden="false" customHeight="true" outlineLevel="0" collapsed="false">
      <c r="A3" s="42" t="s">
        <v>159</v>
      </c>
      <c r="B3" s="43" t="n">
        <v>212000</v>
      </c>
      <c r="C3" s="44" t="s">
        <v>160</v>
      </c>
    </row>
    <row r="4" customFormat="false" ht="15" hidden="false" customHeight="true" outlineLevel="0" collapsed="false">
      <c r="A4" s="42" t="s">
        <v>161</v>
      </c>
      <c r="B4" s="43" t="n">
        <v>90000</v>
      </c>
      <c r="C4" s="44" t="s">
        <v>162</v>
      </c>
    </row>
    <row r="5" customFormat="false" ht="15" hidden="false" customHeight="true" outlineLevel="0" collapsed="false">
      <c r="A5" s="42" t="s">
        <v>163</v>
      </c>
      <c r="B5" s="43" t="n">
        <v>90000</v>
      </c>
      <c r="C5" s="44" t="s">
        <v>164</v>
      </c>
    </row>
    <row r="6" customFormat="false" ht="15" hidden="false" customHeight="true" outlineLevel="0" collapsed="false">
      <c r="A6" s="42" t="s">
        <v>165</v>
      </c>
      <c r="B6" s="43" t="n">
        <v>120000</v>
      </c>
      <c r="C6" s="44" t="s">
        <v>166</v>
      </c>
    </row>
    <row r="7" customFormat="false" ht="15" hidden="false" customHeight="true" outlineLevel="0" collapsed="false">
      <c r="A7" s="42" t="s">
        <v>167</v>
      </c>
      <c r="B7" s="43" t="n">
        <v>120000</v>
      </c>
      <c r="C7" s="44" t="s">
        <v>168</v>
      </c>
    </row>
    <row r="8" customFormat="false" ht="15" hidden="false" customHeight="true" outlineLevel="0" collapsed="false">
      <c r="A8" s="42" t="s">
        <v>169</v>
      </c>
      <c r="B8" s="43" t="n">
        <v>60000</v>
      </c>
      <c r="C8" s="44" t="s">
        <v>170</v>
      </c>
    </row>
    <row r="9" customFormat="false" ht="18" hidden="false" customHeight="true" outlineLevel="0" collapsed="false">
      <c r="A9" s="41" t="s">
        <v>171</v>
      </c>
      <c r="B9" s="41"/>
      <c r="C9" s="41"/>
    </row>
    <row r="10" customFormat="false" ht="15" hidden="false" customHeight="true" outlineLevel="0" collapsed="false">
      <c r="A10" s="42" t="s">
        <v>172</v>
      </c>
      <c r="B10" s="43" t="n">
        <v>7500</v>
      </c>
      <c r="C10" s="44" t="s">
        <v>173</v>
      </c>
    </row>
    <row r="11" customFormat="false" ht="15" hidden="false" customHeight="true" outlineLevel="0" collapsed="false">
      <c r="A11" s="42" t="s">
        <v>172</v>
      </c>
      <c r="B11" s="43" t="n">
        <v>7500</v>
      </c>
      <c r="C11" s="44" t="s">
        <v>174</v>
      </c>
    </row>
    <row r="12" customFormat="false" ht="15" hidden="false" customHeight="true" outlineLevel="0" collapsed="false">
      <c r="A12" s="42" t="s">
        <v>175</v>
      </c>
      <c r="B12" s="43" t="n">
        <v>2000</v>
      </c>
      <c r="C12" s="44" t="s">
        <v>176</v>
      </c>
    </row>
    <row r="13" customFormat="false" ht="15" hidden="false" customHeight="true" outlineLevel="0" collapsed="false">
      <c r="A13" s="42" t="s">
        <v>177</v>
      </c>
      <c r="B13" s="43" t="n">
        <v>6800</v>
      </c>
      <c r="C13" s="44" t="s">
        <v>178</v>
      </c>
    </row>
    <row r="14" customFormat="false" ht="15" hidden="false" customHeight="true" outlineLevel="0" collapsed="false">
      <c r="A14" s="42" t="s">
        <v>179</v>
      </c>
      <c r="B14" s="43" t="n">
        <v>3000</v>
      </c>
      <c r="C14" s="44" t="s">
        <v>176</v>
      </c>
    </row>
    <row r="15" customFormat="false" ht="15" hidden="false" customHeight="true" outlineLevel="0" collapsed="false">
      <c r="A15" s="42" t="s">
        <v>180</v>
      </c>
      <c r="B15" s="43" t="n">
        <v>18400</v>
      </c>
      <c r="C15" s="44" t="s">
        <v>181</v>
      </c>
    </row>
    <row r="16" customFormat="false" ht="15" hidden="false" customHeight="true" outlineLevel="0" collapsed="false">
      <c r="A16" s="42" t="s">
        <v>182</v>
      </c>
      <c r="B16" s="43" t="n">
        <v>3200</v>
      </c>
      <c r="C16" s="44" t="s">
        <v>183</v>
      </c>
    </row>
    <row r="17" customFormat="false" ht="18" hidden="false" customHeight="true" outlineLevel="0" collapsed="false">
      <c r="A17" s="41" t="s">
        <v>184</v>
      </c>
      <c r="B17" s="41"/>
      <c r="C17" s="41"/>
    </row>
    <row r="18" customFormat="false" ht="15" hidden="false" customHeight="true" outlineLevel="0" collapsed="false">
      <c r="A18" s="42" t="s">
        <v>185</v>
      </c>
      <c r="B18" s="45"/>
      <c r="C18" s="44" t="s">
        <v>186</v>
      </c>
    </row>
    <row r="20" customFormat="false" ht="15" hidden="false" customHeight="true" outlineLevel="0" collapsed="false">
      <c r="A20" s="42" t="s">
        <v>187</v>
      </c>
      <c r="B20" s="43" t="n">
        <v>91800</v>
      </c>
      <c r="C20" s="44" t="s">
        <v>188</v>
      </c>
    </row>
    <row r="21" customFormat="false" ht="15" hidden="false" customHeight="true" outlineLevel="0" collapsed="false">
      <c r="A21" s="42" t="s">
        <v>189</v>
      </c>
      <c r="B21" s="43" t="n">
        <v>3200</v>
      </c>
      <c r="C21" s="44" t="s">
        <v>190</v>
      </c>
    </row>
    <row r="22" customFormat="false" ht="15" hidden="false" customHeight="true" outlineLevel="0" collapsed="false">
      <c r="A22" s="42" t="s">
        <v>191</v>
      </c>
      <c r="B22" s="46" t="n">
        <v>0.006</v>
      </c>
      <c r="C22" s="44" t="s">
        <v>192</v>
      </c>
    </row>
    <row r="23" customFormat="false" ht="15" hidden="false" customHeight="true" outlineLevel="0" collapsed="false">
      <c r="A23" s="42" t="s">
        <v>193</v>
      </c>
      <c r="B23" s="43" t="n">
        <v>31700</v>
      </c>
      <c r="C23" s="44" t="s">
        <v>194</v>
      </c>
    </row>
    <row r="24" customFormat="false" ht="15" hidden="false" customHeight="true" outlineLevel="0" collapsed="false">
      <c r="A24" s="42" t="s">
        <v>195</v>
      </c>
      <c r="B24" s="43" t="n">
        <v>6000</v>
      </c>
      <c r="C24" s="44" t="s">
        <v>196</v>
      </c>
    </row>
    <row r="25" customFormat="false" ht="15" hidden="false" customHeight="true" outlineLevel="0" collapsed="false">
      <c r="A25" s="42" t="s">
        <v>197</v>
      </c>
      <c r="B25" s="43" t="n">
        <v>1000</v>
      </c>
      <c r="C25" s="44" t="s">
        <v>198</v>
      </c>
    </row>
    <row r="26" customFormat="false" ht="15" hidden="false" customHeight="true" outlineLevel="0" collapsed="false">
      <c r="A26" s="42" t="s">
        <v>199</v>
      </c>
      <c r="B26" s="43" t="n">
        <v>4000</v>
      </c>
      <c r="C26" s="44" t="s">
        <v>200</v>
      </c>
    </row>
    <row r="27" customFormat="false" ht="18" hidden="false" customHeight="true" outlineLevel="0" collapsed="false">
      <c r="A27" s="41" t="s">
        <v>201</v>
      </c>
      <c r="B27" s="41"/>
      <c r="C27" s="41"/>
    </row>
    <row r="30" customFormat="false" ht="15" hidden="false" customHeight="true" outlineLevel="0" collapsed="false">
      <c r="A30" s="42" t="s">
        <v>202</v>
      </c>
      <c r="B30" s="43" t="n">
        <v>18400</v>
      </c>
      <c r="C30" s="44" t="s">
        <v>203</v>
      </c>
    </row>
    <row r="31" customFormat="false" ht="15" hidden="false" customHeight="true" outlineLevel="0" collapsed="false">
      <c r="A31" s="42" t="s">
        <v>204</v>
      </c>
      <c r="B31" s="43" t="n">
        <v>8000</v>
      </c>
      <c r="C31" s="44" t="s">
        <v>205</v>
      </c>
    </row>
    <row r="32" customFormat="false" ht="18" hidden="false" customHeight="true" outlineLevel="0" collapsed="false">
      <c r="A32" s="41" t="s">
        <v>206</v>
      </c>
      <c r="B32" s="41"/>
      <c r="C32" s="41"/>
    </row>
    <row r="33" customFormat="false" ht="15" hidden="false" customHeight="true" outlineLevel="0" collapsed="false">
      <c r="A33" s="42" t="s">
        <v>207</v>
      </c>
      <c r="B33" s="43" t="n">
        <v>5</v>
      </c>
      <c r="C33" s="44" t="s">
        <v>208</v>
      </c>
    </row>
    <row r="34" customFormat="false" ht="15" hidden="false" customHeight="true" outlineLevel="0" collapsed="false">
      <c r="A34" s="42" t="s">
        <v>209</v>
      </c>
      <c r="B34" s="43" t="n">
        <v>2</v>
      </c>
      <c r="C34" s="44" t="s">
        <v>210</v>
      </c>
    </row>
    <row r="35" customFormat="false" ht="15" hidden="false" customHeight="true" outlineLevel="0" collapsed="false">
      <c r="A35" s="42" t="s">
        <v>211</v>
      </c>
      <c r="B35" s="43" t="n">
        <v>7</v>
      </c>
      <c r="C35" s="44" t="s">
        <v>212</v>
      </c>
    </row>
    <row r="36" customFormat="false" ht="18" hidden="false" customHeight="true" outlineLevel="0" collapsed="false">
      <c r="A36" s="41" t="s">
        <v>213</v>
      </c>
      <c r="B36" s="41"/>
      <c r="C36" s="41"/>
    </row>
    <row r="37" customFormat="false" ht="15" hidden="false" customHeight="true" outlineLevel="0" collapsed="false">
      <c r="A37" s="42" t="s">
        <v>214</v>
      </c>
      <c r="B37" s="46" t="n">
        <v>0.064</v>
      </c>
      <c r="C37" s="44" t="s">
        <v>215</v>
      </c>
    </row>
    <row r="38" customFormat="false" ht="15" hidden="false" customHeight="true" outlineLevel="0" collapsed="false">
      <c r="A38" s="42" t="s">
        <v>216</v>
      </c>
      <c r="B38" s="46" t="n">
        <v>0.85</v>
      </c>
      <c r="C38" s="44" t="s">
        <v>217</v>
      </c>
    </row>
    <row r="39" customFormat="false" ht="27.75" hidden="false" customHeight="true" outlineLevel="0" collapsed="false">
      <c r="A39" s="47" t="s">
        <v>218</v>
      </c>
      <c r="B39" s="47"/>
      <c r="C39" s="47"/>
    </row>
  </sheetData>
  <mergeCells count="8">
    <mergeCell ref="A1:C1"/>
    <mergeCell ref="A2:C2"/>
    <mergeCell ref="A9:C9"/>
    <mergeCell ref="A17:C17"/>
    <mergeCell ref="A27:C27"/>
    <mergeCell ref="A32:C32"/>
    <mergeCell ref="A36:C36"/>
    <mergeCell ref="A39:C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8"/>
  </cols>
  <sheetData>
    <row r="1" customFormat="false" ht="24" hidden="false" customHeight="true" outlineLevel="0" collapsed="false">
      <c r="A1" s="6" t="s">
        <v>219</v>
      </c>
      <c r="B1" s="6"/>
      <c r="C1" s="6"/>
      <c r="D1" s="6"/>
    </row>
    <row r="2" customFormat="false" ht="18" hidden="false" customHeight="true" outlineLevel="0" collapsed="false">
      <c r="A2" s="7" t="s">
        <v>220</v>
      </c>
      <c r="B2" s="7" t="s">
        <v>221</v>
      </c>
      <c r="C2" s="7" t="s">
        <v>222</v>
      </c>
      <c r="D2" s="7" t="s">
        <v>223</v>
      </c>
    </row>
    <row r="3" customFormat="false" ht="18" hidden="false" customHeight="true" outlineLevel="0" collapsed="false">
      <c r="A3" s="48" t="s">
        <v>224</v>
      </c>
      <c r="B3" s="48"/>
      <c r="C3" s="48"/>
      <c r="D3" s="48"/>
    </row>
    <row r="4" customFormat="false" ht="15.75" hidden="false" customHeight="true" outlineLevel="0" collapsed="false">
      <c r="A4" s="49" t="s">
        <v>225</v>
      </c>
      <c r="B4" s="11" t="n">
        <f aca="false">IFERROR(SUMPRODUCT((MONTH(01_RESERVAS!B4:B100)=5)*(01_RESERVAS!B4:B100&gt;0)*(01_RESERVAS!M4:M100+01_RESERVAS!N4:N100+01_RESERVAS!O4:O100+01_RESERVAS!P4:P100)),0)</f>
        <v>0</v>
      </c>
      <c r="C4" s="50" t="n">
        <f aca="false">IFERROR(SUMPRODUCT((MONTH(01_RESERVAS!B4:B100)=6)*(01_RESERVAS!B4:B100&gt;0)*(01_RESERVAS!M4:M100+01_RESERVAS!N4:N100+01_RESERVAS!O4:O100+01_RESERVAS!P4:P100)),0)</f>
        <v>0</v>
      </c>
      <c r="D4" s="11" t="n">
        <f aca="false">IFERROR(B4+C4,0)</f>
        <v>0</v>
      </c>
    </row>
    <row r="5" customFormat="false" ht="15.75" hidden="false" customHeight="true" outlineLevel="0" collapsed="false">
      <c r="A5" s="49" t="s">
        <v>226</v>
      </c>
      <c r="B5" s="11" t="n">
        <f aca="false">IFERROR(SUMPRODUCT((MONTH(01_RESERVAS!B4:B100)=5)*(01_RESERVAS!B4:B100&gt;0)*01_RESERVAS!M4:M100),0)</f>
        <v>0</v>
      </c>
      <c r="C5" s="50" t="n">
        <f aca="false">IFERROR(SUMPRODUCT((MONTH(01_RESERVAS!B4:B100)=6)*(01_RESERVAS!B4:B100&gt;0)*01_RESERVAS!M4:M100),0)</f>
        <v>0</v>
      </c>
      <c r="D5" s="11" t="n">
        <f aca="false">IFERROR(B5+C5,0)</f>
        <v>0</v>
      </c>
    </row>
    <row r="6" customFormat="false" ht="15.75" hidden="false" customHeight="true" outlineLevel="0" collapsed="false">
      <c r="A6" s="49" t="s">
        <v>227</v>
      </c>
      <c r="B6" s="11" t="n">
        <f aca="false">IFERROR(SUMPRODUCT((MONTH(01_RESERVAS!B4:B100)=5)*(01_RESERVAS!B4:B100&gt;0)*01_RESERVAS!N4:N100),0)</f>
        <v>0</v>
      </c>
      <c r="C6" s="50" t="n">
        <f aca="false">IFERROR(SUMPRODUCT((MONTH(01_RESERVAS!B4:B100)=6)*(01_RESERVAS!B4:B100&gt;0)*01_RESERVAS!N4:N100),0)</f>
        <v>0</v>
      </c>
      <c r="D6" s="11" t="n">
        <f aca="false">IFERROR(B6+C6,0)</f>
        <v>0</v>
      </c>
    </row>
    <row r="7" customFormat="false" ht="15.75" hidden="false" customHeight="true" outlineLevel="0" collapsed="false">
      <c r="A7" s="49" t="s">
        <v>228</v>
      </c>
      <c r="B7" s="11" t="n">
        <f aca="false">IFERROR(SUMPRODUCT((MONTH(01_RESERVAS!B4:B100)=5)*(01_RESERVAS!B4:B100&gt;0)*01_RESERVAS!O4:O100),0)</f>
        <v>0</v>
      </c>
      <c r="C7" s="50" t="n">
        <f aca="false">IFERROR(SUMPRODUCT((MONTH(01_RESERVAS!B4:B100)=6)*(01_RESERVAS!B4:B100&gt;0)*01_RESERVAS!O4:O100),0)</f>
        <v>0</v>
      </c>
      <c r="D7" s="11" t="n">
        <f aca="false">IFERROR(B7+C7,0)</f>
        <v>0</v>
      </c>
    </row>
    <row r="8" customFormat="false" ht="15.75" hidden="false" customHeight="true" outlineLevel="0" collapsed="false">
      <c r="A8" s="49" t="s">
        <v>229</v>
      </c>
      <c r="B8" s="11" t="n">
        <f aca="false">IFERROR(SUMPRODUCT((MONTH(01_RESERVAS!B4:B100)=5)*(01_RESERVAS!B4:B100&gt;0)*01_RESERVAS!P4:P100),0)</f>
        <v>0</v>
      </c>
      <c r="C8" s="50" t="n">
        <f aca="false">IFERROR(SUMPRODUCT((MONTH(01_RESERVAS!B4:B100)=6)*(01_RESERVAS!B4:B100&gt;0)*01_RESERVAS!P4:P100),0)</f>
        <v>0</v>
      </c>
      <c r="D8" s="11" t="n">
        <f aca="false">IFERROR(B8+C8,0)</f>
        <v>0</v>
      </c>
    </row>
    <row r="9" customFormat="false" ht="18" hidden="false" customHeight="true" outlineLevel="0" collapsed="false">
      <c r="A9" s="48" t="s">
        <v>230</v>
      </c>
      <c r="B9" s="48"/>
      <c r="C9" s="48"/>
      <c r="D9" s="48"/>
    </row>
    <row r="10" customFormat="false" ht="15.75" hidden="false" customHeight="true" outlineLevel="0" collapsed="false">
      <c r="A10" s="49" t="s">
        <v>231</v>
      </c>
      <c r="B10" s="11" t="n">
        <f aca="false">SUMIF(02_EGRESOS!D4:D100,"operativo",02_EGRESOS!E4:E100)</f>
        <v>247400</v>
      </c>
      <c r="C10" s="50" t="n">
        <v>0</v>
      </c>
      <c r="D10" s="11" t="n">
        <f aca="false">B10+C10</f>
        <v>247400</v>
      </c>
    </row>
    <row r="11" customFormat="false" ht="15.75" hidden="false" customHeight="true" outlineLevel="0" collapsed="false">
      <c r="A11" s="49" t="s">
        <v>232</v>
      </c>
      <c r="B11" s="11" t="n">
        <f aca="false">SUMIF(02_EGRESOS!D4:D100,"extraordinario",02_EGRESOS!E4:E100)</f>
        <v>112500</v>
      </c>
      <c r="C11" s="50" t="n">
        <v>0</v>
      </c>
      <c r="D11" s="11" t="n">
        <f aca="false">B11+C11</f>
        <v>112500</v>
      </c>
    </row>
    <row r="12" customFormat="false" ht="15.75" hidden="false" customHeight="true" outlineLevel="0" collapsed="false">
      <c r="A12" s="49" t="s">
        <v>233</v>
      </c>
      <c r="B12" s="11" t="n">
        <f aca="false">B10+B11</f>
        <v>359900</v>
      </c>
      <c r="C12" s="11" t="n">
        <f aca="false">C10+C11</f>
        <v>0</v>
      </c>
      <c r="D12" s="11" t="n">
        <f aca="false">D10+D11</f>
        <v>359900</v>
      </c>
    </row>
    <row r="13" customFormat="false" ht="18" hidden="false" customHeight="true" outlineLevel="0" collapsed="false">
      <c r="A13" s="48" t="s">
        <v>234</v>
      </c>
      <c r="B13" s="48"/>
      <c r="C13" s="48"/>
      <c r="D13" s="48"/>
    </row>
    <row r="14" customFormat="false" ht="15.75" hidden="false" customHeight="true" outlineLevel="0" collapsed="false">
      <c r="A14" s="49" t="s">
        <v>235</v>
      </c>
      <c r="B14" s="11" t="n">
        <f aca="false">B4-B12</f>
        <v>-359900</v>
      </c>
      <c r="C14" s="11" t="n">
        <f aca="false">C4-C12</f>
        <v>0</v>
      </c>
      <c r="D14" s="11" t="n">
        <f aca="false">D4-D12</f>
        <v>-359900</v>
      </c>
    </row>
    <row r="15" customFormat="false" ht="15.75" hidden="false" customHeight="true" outlineLevel="0" collapsed="false">
      <c r="A15" s="49" t="s">
        <v>236</v>
      </c>
      <c r="B15" s="51" t="n">
        <f aca="false">IFERROR(B14/B4,0)</f>
        <v>0</v>
      </c>
      <c r="C15" s="51" t="n">
        <f aca="false">IFERROR(C14/C4,0)</f>
        <v>0</v>
      </c>
      <c r="D15" s="51" t="n">
        <f aca="false">IFERROR(D14/D4,0)</f>
        <v>0</v>
      </c>
    </row>
    <row r="16" customFormat="false" ht="15.75" hidden="false" customHeight="true" outlineLevel="0" collapsed="false">
      <c r="A16" s="49" t="s">
        <v>237</v>
      </c>
      <c r="B16" s="11" t="n">
        <f aca="false">IFERROR(B12/SUMPRODUCT((MONTH(01_RESERVAS!B4:B100)=5)*(01_RESERVAS!B4:B100&gt;0)*01_RESERVAS!E4:E100),0)</f>
        <v>0</v>
      </c>
      <c r="C16" s="50" t="n">
        <f aca="false">IFERROR(C12/SUMPRODUCT((MONTH(01_RESERVAS!B4:B100)=6)*(01_RESERVAS!B4:B100&gt;0)*01_RESERVAS!E4:E100),0)</f>
        <v>0</v>
      </c>
      <c r="D16" s="11" t="n">
        <f aca="false">IFERROR(D12/SUMPRODUCT((01_RESERVAS!B4:B100&gt;0)*01_RESERVAS!E4:E100),0)</f>
        <v>35990</v>
      </c>
    </row>
    <row r="17" customFormat="false" ht="18" hidden="false" customHeight="true" outlineLevel="0" collapsed="false">
      <c r="A17" s="48" t="s">
        <v>238</v>
      </c>
      <c r="B17" s="48"/>
      <c r="C17" s="48"/>
      <c r="D17" s="48"/>
    </row>
    <row r="18" customFormat="false" ht="15.75" hidden="false" customHeight="true" outlineLevel="0" collapsed="false">
      <c r="A18" s="49" t="s">
        <v>239</v>
      </c>
      <c r="B18" s="51" t="str">
        <f aca="false">IF(B15&lt;04_CONFIG_PRECIOS!$B$38,"REVISAR","OK")</f>
        <v>REVISAR</v>
      </c>
      <c r="C18" s="51" t="str">
        <f aca="false">IF(C15&lt;04_CONFIG_PRECIOS!$B$38,"REVISAR","OK")</f>
        <v>REVISAR</v>
      </c>
      <c r="D18" s="51" t="str">
        <f aca="false">IF(D15&lt;04_CONFIG_PRECIOS!$B$38,"REVISAR","OK")</f>
        <v>REVISAR</v>
      </c>
    </row>
    <row r="19" customFormat="false" ht="15.75" hidden="false" customHeight="true" outlineLevel="0" collapsed="false">
      <c r="A19" s="49" t="s">
        <v>240</v>
      </c>
      <c r="B19" s="11" t="n">
        <f aca="false">IFERROR(SUMPRODUCT((MONTH(01_RESERVAS!B4:B100)=5)*(01_RESERVAS!B4:B100&gt;0)),0)</f>
        <v>0</v>
      </c>
      <c r="C19" s="50" t="n">
        <f aca="false">IFERROR(SUMPRODUCT((MONTH(01_RESERVAS!B4:B100)=6)*(01_RESERVAS!B4:B100&gt;0)),0)</f>
        <v>0</v>
      </c>
      <c r="D19" s="11" t="n">
        <f aca="false">IFERROR(B19+C19,0)</f>
        <v>0</v>
      </c>
    </row>
    <row r="21" customFormat="false" ht="27.75" hidden="false" customHeight="true" outlineLevel="0" collapsed="false">
      <c r="A21" s="13" t="s">
        <v>241</v>
      </c>
      <c r="B21" s="13"/>
      <c r="C21" s="13"/>
      <c r="D21" s="13"/>
    </row>
  </sheetData>
  <mergeCells count="6">
    <mergeCell ref="A1:D1"/>
    <mergeCell ref="A3:D3"/>
    <mergeCell ref="A9:D9"/>
    <mergeCell ref="A13:D13"/>
    <mergeCell ref="A17:D17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2026-05-20T04:31:11Z</dcterms:created>
  <dc:creator>openpyxl</dc:creator>
  <dc:description/>
  <dc:language>en-US</dc:language>
  <cp:lastModifiedBy/>
  <dcterms:modified xsi:type="dcterms:W3CDTF">2026-05-20T04:31:59Z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